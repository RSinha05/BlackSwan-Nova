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Parameters" sheetId="1" state="visible" r:id="rId3"/>
    <sheet name="GBM Financial Model" sheetId="2" state="visible" r:id="rId4"/>
    <sheet name="VAR &amp; Risk Metrics" sheetId="3" state="visible" r:id="rId5"/>
    <sheet name="Correlation Matrix" sheetId="4" state="visible" r:id="rId6"/>
    <sheet name="Portfolio Optimization" sheetId="5" state="visible" r:id="rId7"/>
    <sheet name="Methodolo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<sst xmlns="http://schemas.openxmlformats.org/spreadsheetml/2006/main" count="314" uniqueCount="226">
  <si>
    <t xml:space="preserve">QUANTRISK — Market Parameters &amp; GBM Assumptions</t>
  </si>
  <si>
    <t xml:space="preserve">All return/volatility figures are annualised. Sharpe = (μ − Rf) / σ  |  Rf = 6.5% (India) / 4.5% (US)</t>
  </si>
  <si>
    <t xml:space="preserve">Instrument</t>
  </si>
  <si>
    <t xml:space="preserve">Category</t>
  </si>
  <si>
    <t xml:space="preserve">Ann. Return μ</t>
  </si>
  <si>
    <t xml:space="preserve">Ann. Vol σ</t>
  </si>
  <si>
    <t xml:space="preserve">Daily VAR 95%</t>
  </si>
  <si>
    <t xml:space="preserve">Sharpe Ratio</t>
  </si>
  <si>
    <t xml:space="preserve">Correlation w/ NIFTY</t>
  </si>
  <si>
    <t xml:space="preserve">Asset Class</t>
  </si>
  <si>
    <t xml:space="preserve">BSE SENSEX</t>
  </si>
  <si>
    <t xml:space="preserve">Indian Index</t>
  </si>
  <si>
    <t xml:space="preserve">Equity Index</t>
  </si>
  <si>
    <t xml:space="preserve">NIFTY 50</t>
  </si>
  <si>
    <t xml:space="preserve">NIFTY BANK</t>
  </si>
  <si>
    <t xml:space="preserve">BANKEX</t>
  </si>
  <si>
    <t xml:space="preserve">NIFTY Midcap</t>
  </si>
  <si>
    <t xml:space="preserve">NIFTY IT</t>
  </si>
  <si>
    <t xml:space="preserve">NIFTY Pharma</t>
  </si>
  <si>
    <t xml:space="preserve">NIFTY Auto</t>
  </si>
  <si>
    <t xml:space="preserve">Reliance Inds</t>
  </si>
  <si>
    <t xml:space="preserve">Indian Stock</t>
  </si>
  <si>
    <t xml:space="preserve">Large Cap Equity</t>
  </si>
  <si>
    <t xml:space="preserve">TCS</t>
  </si>
  <si>
    <t xml:space="preserve">Infosys</t>
  </si>
  <si>
    <t xml:space="preserve">HDFC Bank</t>
  </si>
  <si>
    <t xml:space="preserve">ICICI Bank</t>
  </si>
  <si>
    <t xml:space="preserve">SBI</t>
  </si>
  <si>
    <t xml:space="preserve">PSU Equity</t>
  </si>
  <si>
    <t xml:space="preserve">Bajaj Finance</t>
  </si>
  <si>
    <t xml:space="preserve">Wipro</t>
  </si>
  <si>
    <t xml:space="preserve">HUL</t>
  </si>
  <si>
    <t xml:space="preserve">FMCG Equity</t>
  </si>
  <si>
    <t xml:space="preserve">L&amp;T</t>
  </si>
  <si>
    <t xml:space="preserve">Capital Goods</t>
  </si>
  <si>
    <t xml:space="preserve">Asian Paints</t>
  </si>
  <si>
    <t xml:space="preserve">Maruti Suzuki</t>
  </si>
  <si>
    <t xml:space="preserve">Auto Equity</t>
  </si>
  <si>
    <t xml:space="preserve">Sun Pharma</t>
  </si>
  <si>
    <t xml:space="preserve">Pharma Equity</t>
  </si>
  <si>
    <t xml:space="preserve">Titan Company</t>
  </si>
  <si>
    <t xml:space="preserve">Consumer Equity</t>
  </si>
  <si>
    <t xml:space="preserve">NASDAQ 100</t>
  </si>
  <si>
    <t xml:space="preserve">Global Index</t>
  </si>
  <si>
    <t xml:space="preserve">S&amp;P 500</t>
  </si>
  <si>
    <t xml:space="preserve">FTSE 100</t>
  </si>
  <si>
    <t xml:space="preserve">DAX 40</t>
  </si>
  <si>
    <t xml:space="preserve">Nikkei 225</t>
  </si>
  <si>
    <t xml:space="preserve">Hang Seng</t>
  </si>
  <si>
    <t xml:space="preserve">Apple (AAPL)</t>
  </si>
  <si>
    <t xml:space="preserve">US Stock</t>
  </si>
  <si>
    <t xml:space="preserve">Mega Cap Tech</t>
  </si>
  <si>
    <t xml:space="preserve">Microsoft</t>
  </si>
  <si>
    <t xml:space="preserve">NVIDIA</t>
  </si>
  <si>
    <t xml:space="preserve">Semiconductor</t>
  </si>
  <si>
    <t xml:space="preserve">Alphabet (GOOGL)</t>
  </si>
  <si>
    <t xml:space="preserve">Amazon</t>
  </si>
  <si>
    <t xml:space="preserve">Tesla</t>
  </si>
  <si>
    <t xml:space="preserve">EV / Disruptive</t>
  </si>
  <si>
    <t xml:space="preserve">Meta Platforms</t>
  </si>
  <si>
    <t xml:space="preserve">USD/INR</t>
  </si>
  <si>
    <t xml:space="preserve">Forex</t>
  </si>
  <si>
    <t xml:space="preserve">FX Spot</t>
  </si>
  <si>
    <t xml:space="preserve">EUR/INR</t>
  </si>
  <si>
    <t xml:space="preserve">GBP/INR</t>
  </si>
  <si>
    <t xml:space="preserve">JPY/INR</t>
  </si>
  <si>
    <t xml:space="preserve">AUD/INR</t>
  </si>
  <si>
    <t xml:space="preserve">Gold MCX</t>
  </si>
  <si>
    <t xml:space="preserve">Commodity</t>
  </si>
  <si>
    <t xml:space="preserve">Precious Metal</t>
  </si>
  <si>
    <t xml:space="preserve">Silver MCX</t>
  </si>
  <si>
    <t xml:space="preserve">Crude Oil MCX</t>
  </si>
  <si>
    <t xml:space="preserve">Energy Commodity</t>
  </si>
  <si>
    <t xml:space="preserve">QUANTRISK — Geometric Brownian Motion Financial Model</t>
  </si>
  <si>
    <t xml:space="preserve">▶  KEY ASSUMPTIONS  (Blue = user inputs)</t>
  </si>
  <si>
    <t xml:space="preserve">Initial Investment (₹)</t>
  </si>
  <si>
    <t xml:space="preserve">Annual Return μ</t>
  </si>
  <si>
    <t xml:space="preserve">Annual Volatility σ</t>
  </si>
  <si>
    <t xml:space="preserve">Investment Horizon (years)</t>
  </si>
  <si>
    <t xml:space="preserve">Number of Simulations</t>
  </si>
  <si>
    <t xml:space="preserve">Confidence Level (VAR)</t>
  </si>
  <si>
    <t xml:space="preserve">Risk-Free Rate Rf</t>
  </si>
  <si>
    <t xml:space="preserve">Trading Days/Year</t>
  </si>
  <si>
    <t xml:space="preserve">Volatility Scalar</t>
  </si>
  <si>
    <t xml:space="preserve">▶  DERIVED PARAMETERS  (Black = formula outputs)</t>
  </si>
  <si>
    <t xml:space="preserve">Daily Return (μ/T)</t>
  </si>
  <si>
    <t xml:space="preserve">Daily Volatility (σ/√T)</t>
  </si>
  <si>
    <t xml:space="preserve">GBM Drift Component (μ−σ²/2)⋅dt</t>
  </si>
  <si>
    <t xml:space="preserve">Total Steps (T × 252)</t>
  </si>
  <si>
    <t xml:space="preserve">VAR Confidence Z-Score</t>
  </si>
  <si>
    <t xml:space="preserve">Parametric Daily VAR (₹)</t>
  </si>
  <si>
    <t xml:space="preserve">Annual VAR 95% (₹)</t>
  </si>
  <si>
    <t xml:space="preserve">Expected Terminal Value (₹)</t>
  </si>
  <si>
    <t xml:space="preserve">Expected P&amp;L (₹)</t>
  </si>
  <si>
    <t xml:space="preserve">Probability of Profit (approx)</t>
  </si>
  <si>
    <t xml:space="preserve">▶  SAMPLE GBM PRICE PATH  (10 steps shown — extend rows for full simulation)</t>
  </si>
  <si>
    <t xml:space="preserve">Step (t)</t>
  </si>
  <si>
    <t xml:space="preserve">Drift Term</t>
  </si>
  <si>
    <t xml:space="preserve">Random (ε)</t>
  </si>
  <si>
    <t xml:space="preserve">Shock Term</t>
  </si>
  <si>
    <t xml:space="preserve">Return</t>
  </si>
  <si>
    <t xml:space="preserve">Price</t>
  </si>
  <si>
    <t xml:space="preserve">Cumul. Return</t>
  </si>
  <si>
    <t xml:space="preserve">P&amp;L (₹)</t>
  </si>
  <si>
    <t xml:space="preserve">Lower 5%</t>
  </si>
  <si>
    <t xml:space="preserve">Upper 95%</t>
  </si>
  <si>
    <t xml:space="preserve">QUANTRISK — Value at Risk &amp; Risk Metrics Reference Table</t>
  </si>
  <si>
    <t xml:space="preserve">▶  PARAMETRIC VAR BY CONFIDENCE LEVEL  (₹10,00,000 investment, σ=18.3%, μ=12.5%, T=1yr)</t>
  </si>
  <si>
    <t xml:space="preserve">Confidence Level</t>
  </si>
  <si>
    <t xml:space="preserve">Z-Score</t>
  </si>
  <si>
    <t xml:space="preserve">Daily VAR (₹)</t>
  </si>
  <si>
    <t xml:space="preserve">Monthly VAR (₹)</t>
  </si>
  <si>
    <t xml:space="preserve">Annual VAR (₹)</t>
  </si>
  <si>
    <t xml:space="preserve">CVaR (₹)</t>
  </si>
  <si>
    <t xml:space="preserve">90.0%</t>
  </si>
  <si>
    <t xml:space="preserve">95.0%</t>
  </si>
  <si>
    <t xml:space="preserve">99.0%</t>
  </si>
  <si>
    <t xml:space="preserve">99.5%</t>
  </si>
  <si>
    <t xml:space="preserve">99.9%</t>
  </si>
  <si>
    <t xml:space="preserve">▶  HISTORICAL STRESS TEST SCENARIOS</t>
  </si>
  <si>
    <t xml:space="preserve">Scenario</t>
  </si>
  <si>
    <t xml:space="preserve">Year</t>
  </si>
  <si>
    <t xml:space="preserve">SENSEX Drop</t>
  </si>
  <si>
    <t xml:space="preserve">NIFTY Drop</t>
  </si>
  <si>
    <t xml:space="preserve">Duration (days)</t>
  </si>
  <si>
    <t xml:space="preserve">₹10L Portfolio Loss</t>
  </si>
  <si>
    <t xml:space="preserve">COVID-19 Crash</t>
  </si>
  <si>
    <t xml:space="preserve">2020</t>
  </si>
  <si>
    <t xml:space="preserve">Global Financial Crisis</t>
  </si>
  <si>
    <t xml:space="preserve">2008</t>
  </si>
  <si>
    <t xml:space="preserve">IL&amp;FS Crisis</t>
  </si>
  <si>
    <t xml:space="preserve">2018</t>
  </si>
  <si>
    <t xml:space="preserve">Demonetisation</t>
  </si>
  <si>
    <t xml:space="preserve">2016</t>
  </si>
  <si>
    <t xml:space="preserve">Dot-com Bust (India)</t>
  </si>
  <si>
    <t xml:space="preserve">2001</t>
  </si>
  <si>
    <t xml:space="preserve">Kargil War Effect</t>
  </si>
  <si>
    <t xml:space="preserve">1999</t>
  </si>
  <si>
    <t xml:space="preserve">Lehman Monday</t>
  </si>
  <si>
    <t xml:space="preserve">Flash Crash (NIFTY)</t>
  </si>
  <si>
    <t xml:space="preserve">2015</t>
  </si>
  <si>
    <t xml:space="preserve">Russia-Ukraine Shock</t>
  </si>
  <si>
    <t xml:space="preserve">2022</t>
  </si>
  <si>
    <t xml:space="preserve">QUANTRISK — Asset Correlation Matrix</t>
  </si>
  <si>
    <t xml:space="preserve">Correlation ρ</t>
  </si>
  <si>
    <t xml:space="preserve">SENSEX</t>
  </si>
  <si>
    <t xml:space="preserve">Crude Oil</t>
  </si>
  <si>
    <t xml:space="preserve">QUANTRISK — Efficient Frontier &amp; Portfolio Optimization</t>
  </si>
  <si>
    <t xml:space="preserve">▶  EFFICIENT FRONTIER  (Simulated portfolios — 3-asset: NIFTY 50, NASDAQ, Gold)</t>
  </si>
  <si>
    <t xml:space="preserve">Portfolio</t>
  </si>
  <si>
    <t xml:space="preserve">NIFTY Wt</t>
  </si>
  <si>
    <t xml:space="preserve">NASDAQ Wt</t>
  </si>
  <si>
    <t xml:space="preserve">Gold Wt</t>
  </si>
  <si>
    <t xml:space="preserve">Expected Return</t>
  </si>
  <si>
    <t xml:space="preserve">Volatility</t>
  </si>
  <si>
    <t xml:space="preserve">Sharpe</t>
  </si>
  <si>
    <t xml:space="preserve">Min Variance</t>
  </si>
  <si>
    <t xml:space="preserve">Conservative</t>
  </si>
  <si>
    <t xml:space="preserve">Moderate</t>
  </si>
  <si>
    <t xml:space="preserve">Balanced Growth</t>
  </si>
  <si>
    <t xml:space="preserve">Max Sharpe</t>
  </si>
  <si>
    <t xml:space="preserve">Growth</t>
  </si>
  <si>
    <t xml:space="preserve">Aggressive</t>
  </si>
  <si>
    <t xml:space="preserve">Max Return</t>
  </si>
  <si>
    <t xml:space="preserve">▶  DIVERSIFICATION BENEFIT  (Standard Deviation Reduction)</t>
  </si>
  <si>
    <t xml:space="preserve"># Stocks</t>
  </si>
  <si>
    <t xml:space="preserve">Portfolio σ (%)</t>
  </si>
  <si>
    <t xml:space="preserve">Systematic Risk</t>
  </si>
  <si>
    <t xml:space="preserve">Idiosyncratic Risk</t>
  </si>
  <si>
    <t xml:space="preserve">Diversif. Benefit</t>
  </si>
  <si>
    <t xml:space="preserve">QUANTRISK — Methodology &amp; Formula Reference</t>
  </si>
  <si>
    <t xml:space="preserve">MODEL</t>
  </si>
  <si>
    <t xml:space="preserve">Geometric Brownian Motion (GBM)</t>
  </si>
  <si>
    <t xml:space="preserve">GBM SDE</t>
  </si>
  <si>
    <t xml:space="preserve">dS = μS dt + σS dW   where dW = ε√dt, ε ~ N(0,1)</t>
  </si>
  <si>
    <t xml:space="preserve">Discrete form</t>
  </si>
  <si>
    <t xml:space="preserve">S(t+Δt) = S(t) · exp[(μ − σ²/2)Δt + σε√Δt]</t>
  </si>
  <si>
    <t xml:space="preserve">Drift (μ)</t>
  </si>
  <si>
    <t xml:space="preserve">Expected annual log-return. Calibrated to historical 5-yr trailing mean.</t>
  </si>
  <si>
    <t xml:space="preserve">Volatility (σ)</t>
  </si>
  <si>
    <t xml:space="preserve">Annual. Calibrated to 5-yr trailing close-to-close. Scaled by √252.</t>
  </si>
  <si>
    <t xml:space="preserve">RISK METRICS</t>
  </si>
  <si>
    <t xml:space="preserve">Value at Risk &amp; Expected Shortfall</t>
  </si>
  <si>
    <t xml:space="preserve">Parametric VAR</t>
  </si>
  <si>
    <t xml:space="preserve">VAR = Investment × (z_α × σ_daily − μ_daily)</t>
  </si>
  <si>
    <t xml:space="preserve">Historical VAR</t>
  </si>
  <si>
    <t xml:space="preserve">Sort simulated P&amp;L; take α-th percentile loss directly.</t>
  </si>
  <si>
    <t xml:space="preserve">CVaR / ES</t>
  </si>
  <si>
    <t xml:space="preserve">CVaR = E[Loss | Loss &gt; VAR] = φ(z_α)/(1−α) × σ × Investment</t>
  </si>
  <si>
    <t xml:space="preserve">Horizon scaling</t>
  </si>
  <si>
    <t xml:space="preserve">VAR(T) = VAR(1-day) × √T  (Basel square-root-of-time rule)</t>
  </si>
  <si>
    <t xml:space="preserve">PORTFOLIO</t>
  </si>
  <si>
    <t xml:space="preserve">Multi-Asset VAR</t>
  </si>
  <si>
    <t xml:space="preserve">Portfolio VAR</t>
  </si>
  <si>
    <t xml:space="preserve">σ_p = √(w'Σw)  where Σ = covariance matrix of returns</t>
  </si>
  <si>
    <t xml:space="preserve">Cholesky</t>
  </si>
  <si>
    <t xml:space="preserve">Correlated paths: S = L·Z  where L = Cholesky factor of Σ</t>
  </si>
  <si>
    <t xml:space="preserve">Diversif. ratio</t>
  </si>
  <si>
    <t xml:space="preserve">DR = Σ(w_i σ_i) / σ_p  (ratio &gt; 1 shows diversification benefit)</t>
  </si>
  <si>
    <t xml:space="preserve">SIMULATION</t>
  </si>
  <si>
    <t xml:space="preserve">Monte Carlo Engine</t>
  </si>
  <si>
    <t xml:space="preserve">N paths</t>
  </si>
  <si>
    <t xml:space="preserve">10,000 – 100,000 GBM paths; terminal P&amp;L distribution analysed.</t>
  </si>
  <si>
    <t xml:space="preserve">Confidence</t>
  </si>
  <si>
    <t xml:space="preserve">95% (default) or 99% for Basel internal model reporting.</t>
  </si>
  <si>
    <t xml:space="preserve">Seed</t>
  </si>
  <si>
    <t xml:space="preserve">No fixed seed — each run is independent (production use).</t>
  </si>
  <si>
    <t xml:space="preserve">DATA SOURCES</t>
  </si>
  <si>
    <t xml:space="preserve">Parameter Calibration</t>
  </si>
  <si>
    <t xml:space="preserve">Returns</t>
  </si>
  <si>
    <t xml:space="preserve">NSE/BSE historical daily close data, 5-yr window.</t>
  </si>
  <si>
    <t xml:space="preserve">Close-to-close HV, annualised × √252.</t>
  </si>
  <si>
    <t xml:space="preserve">Correlations</t>
  </si>
  <si>
    <t xml:space="preserve">Pearson correlation on 5-yr daily log-returns.</t>
  </si>
  <si>
    <t xml:space="preserve">RBI reference rates, 5-yr window.</t>
  </si>
  <si>
    <t xml:space="preserve">Commodities</t>
  </si>
  <si>
    <t xml:space="preserve">MCX daily settlement prices, 5-yr window.</t>
  </si>
  <si>
    <t xml:space="preserve">REFERENCES</t>
  </si>
  <si>
    <t xml:space="preserve">Paper</t>
  </si>
  <si>
    <t xml:space="preserve">Monte Carlo Simulation for Financial Risk Assessment (source PDF)</t>
  </si>
  <si>
    <t xml:space="preserve">Basel IV</t>
  </si>
  <si>
    <t xml:space="preserve">FRTB Internal Model Approach — ES at 97.5% (10-day horizon)</t>
  </si>
  <si>
    <t xml:space="preserve">Markowitz</t>
  </si>
  <si>
    <t xml:space="preserve">Portfolio Selection, H. Markowitz, Journal of Finance, 1952</t>
  </si>
  <si>
    <t xml:space="preserve">Black-Scholes</t>
  </si>
  <si>
    <t xml:space="preserve">GBM underpins B-S options pricing (Black &amp; Scholes, 1973)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</si>
</sst>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00%"/>
    <numFmt numFmtId="167" formatCode="0.00"/>
    <numFmt numFmtId="168" formatCode="#,##0"/>
    <numFmt numFmtId="169" formatCode="0"/>
    <numFmt numFmtId="170" formatCode="0.0000%"/>
    <numFmt numFmtId="171" formatCode="0.000"/>
    <numFmt numFmtId="172" formatCode="0.00%"/>
    <numFmt numFmtId="173" formatCode="#,##0;\(#,##0\);\-"/>
    <numFmt numFmtId="174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0"/>
      <color rgb="FF00B4D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6B7280"/>
      <name val="Calibri"/>
      <family val="0"/>
      <charset val="1"/>
    </font>
    <font>
      <sz val="10"/>
      <color rgb="FF22C55E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EF4444"/>
      <name val="Calibri"/>
      <family val="0"/>
      <charset val="1"/>
    </font>
    <font>
      <b val="true"/>
      <sz val="11"/>
      <color rgb="FF00B4D8"/>
      <name val="Calibri"/>
      <family val="0"/>
      <charset val="1"/>
    </font>
    <font>
      <b val="true"/>
      <sz val="10"/>
      <color rgb="FF4FC3F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F5A623"/>
      <name val="Calibri"/>
      <family val="0"/>
      <charset val="1"/>
    </font>
    <font>
      <b val="true"/>
      <sz val="9"/>
      <color rgb="FF00B4D8"/>
      <name val="Calibri"/>
      <family val="0"/>
      <charset val="1"/>
    </font>
    <font>
      <b val="true"/>
      <sz val="10"/>
      <color rgb="FF22C55E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b val="true"/>
      <sz val="10"/>
      <color rgb="FFF5A623"/>
      <name val="Calibri"/>
      <family val="0"/>
      <charset val="1"/>
    </font>
    <font>
      <b val="true"/>
      <sz val="10"/>
      <color rgb="FFFCA5A5"/>
      <name val="Calibri"/>
      <family val="0"/>
      <charset val="1"/>
    </font>
    <font>
      <sz val="10"/>
      <color rgb="FF86EFAC"/>
      <name val="Calibri"/>
      <family val="0"/>
      <charset val="1"/>
    </font>
    <font>
      <sz val="10"/>
      <color rgb="FFFCA5A5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11827"/>
        <bgColor rgb="FF0A1929"/>
      </patternFill>
    </fill>
    <fill>
      <patternFill patternType="solid">
        <fgColor rgb="FF1E3A5F"/>
        <bgColor rgb="FF1A2E4A"/>
      </patternFill>
    </fill>
    <fill>
      <patternFill patternType="solid">
        <fgColor rgb="FF1A2E4A"/>
        <bgColor rgb="FF1E3A5F"/>
      </patternFill>
    </fill>
    <fill>
      <patternFill patternType="solid">
        <fgColor rgb="FF1F3020"/>
        <bgColor rgb="FF1A2E1A"/>
      </patternFill>
    </fill>
    <fill>
      <patternFill patternType="solid">
        <fgColor rgb="FF2C1A3A"/>
        <bgColor rgb="FF1A2233"/>
      </patternFill>
    </fill>
    <fill>
      <patternFill patternType="solid">
        <fgColor rgb="FF2A2010"/>
        <bgColor rgb="FF3A1F1F"/>
      </patternFill>
    </fill>
    <fill>
      <patternFill patternType="solid">
        <fgColor rgb="FF2A1010"/>
        <bgColor rgb="FF1F1010"/>
      </patternFill>
    </fill>
    <fill>
      <patternFill patternType="solid">
        <fgColor rgb="FF0D1F33"/>
        <bgColor rgb="FF0A1929"/>
      </patternFill>
    </fill>
    <fill>
      <patternFill patternType="solid">
        <fgColor rgb="FF1A2233"/>
        <bgColor rgb="FF0D1F33"/>
      </patternFill>
    </fill>
    <fill>
      <patternFill patternType="solid">
        <fgColor rgb="FF0A1929"/>
        <bgColor rgb="FF111827"/>
      </patternFill>
    </fill>
    <fill>
      <patternFill patternType="solid">
        <fgColor rgb="FFE8F5E9"/>
        <bgColor rgb="FFFFFFFF"/>
      </patternFill>
    </fill>
    <fill>
      <patternFill patternType="solid">
        <fgColor rgb="FF0D1117"/>
        <bgColor rgb="FF111827"/>
      </patternFill>
    </fill>
    <fill>
      <patternFill patternType="solid">
        <fgColor rgb="FF3A1F1F"/>
        <bgColor rgb="FF2A2010"/>
      </patternFill>
    </fill>
    <fill>
      <patternFill patternType="solid">
        <fgColor rgb="FF200A0A"/>
        <bgColor rgb="FF1F1010"/>
      </patternFill>
    </fill>
    <fill>
      <patternFill patternType="solid">
        <fgColor rgb="FF0D3321"/>
        <bgColor rgb="FF1A2E1A"/>
      </patternFill>
    </fill>
    <fill>
      <patternFill patternType="solid">
        <fgColor rgb="FF1A2E1A"/>
        <bgColor rgb="FF1F3020"/>
      </patternFill>
    </fill>
    <fill>
      <patternFill patternType="solid">
        <fgColor rgb="FF1F1010"/>
        <bgColor rgb="FF200A0A"/>
      </patternFill>
    </fill>
    <fill>
      <patternFill patternType="solid">
        <fgColor rgb="FF3A0A0A"/>
        <bgColor rgb="FF2A101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2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11827"/>
      <rgbColor rgb="FFFFFF00"/>
      <rgbColor rgb="FFFF00FF"/>
      <rgbColor rgb="FF00FFFF"/>
      <rgbColor rgb="FF3A0A0A"/>
      <rgbColor rgb="FF1A2E1A"/>
      <rgbColor rgb="FF0A1929"/>
      <rgbColor rgb="FF808000"/>
      <rgbColor rgb="FF2A1010"/>
      <rgbColor rgb="FF008080"/>
      <rgbColor rgb="FFC0C0C0"/>
      <rgbColor rgb="FF808080"/>
      <rgbColor rgb="FF9999FF"/>
      <rgbColor rgb="FF374151"/>
      <rgbColor rgb="FFE8F5E9"/>
      <rgbColor rgb="FFCCFFFF"/>
      <rgbColor rgb="FF2C1A3A"/>
      <rgbColor rgb="FFFF8080"/>
      <rgbColor rgb="FF0066CC"/>
      <rgbColor rgb="FFCCCCFF"/>
      <rgbColor rgb="FF0D1F33"/>
      <rgbColor rgb="FFFF00FF"/>
      <rgbColor rgb="FFFFFF00"/>
      <rgbColor rgb="FF00FFFF"/>
      <rgbColor rgb="FF1F1010"/>
      <rgbColor rgb="FF3A1F1F"/>
      <rgbColor rgb="FF008080"/>
      <rgbColor rgb="FF0D1117"/>
      <rgbColor rgb="FF00B4D8"/>
      <rgbColor rgb="FFCCFFFF"/>
      <rgbColor rgb="FFCCFFCC"/>
      <rgbColor rgb="FFFFFF99"/>
      <rgbColor rgb="FF86EFAC"/>
      <rgbColor rgb="FFFCA5A5"/>
      <rgbColor rgb="FFCC99FF"/>
      <rgbColor rgb="FFFFCC99"/>
      <rgbColor rgb="FF3366FF"/>
      <rgbColor rgb="FF4FC3F7"/>
      <rgbColor rgb="FF99CC00"/>
      <rgbColor rgb="FFFFCC00"/>
      <rgbColor rgb="FFF5A623"/>
      <rgbColor rgb="FFEF4444"/>
      <rgbColor rgb="FF6B7280"/>
      <rgbColor rgb="FF969696"/>
      <rgbColor rgb="FF1A2E4A"/>
      <rgbColor rgb="FF22C55E"/>
      <rgbColor rgb="FF0D3321"/>
      <rgbColor rgb="FF2A2010"/>
      <rgbColor rgb="FF1A2233"/>
      <rgbColor rgb="FF200A0A"/>
      <rgbColor rgb="FF1E3A5F"/>
      <rgbColor rgb="FF1F3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6" t="s">
        <v>11</v>
      </c>
      <c r="C5" s="7" t="n">
        <v>0.127</v>
      </c>
      <c r="D5" s="8" t="n">
        <v>0.185</v>
      </c>
      <c r="E5" s="9" t="n">
        <v>-0.0186667047874539</v>
      </c>
      <c r="F5" s="10" t="n">
        <v>0.335135135135135</v>
      </c>
      <c r="G5" s="11" t="n">
        <v>1</v>
      </c>
      <c r="H5" s="12" t="s">
        <v>12</v>
      </c>
    </row>
    <row r="6" customFormat="false" ht="15" hidden="false" customHeight="true" outlineLevel="0" collapsed="false">
      <c r="A6" s="5" t="s">
        <v>13</v>
      </c>
      <c r="B6" s="6" t="s">
        <v>11</v>
      </c>
      <c r="C6" s="7" t="n">
        <v>0.125</v>
      </c>
      <c r="D6" s="8" t="n">
        <v>0.183</v>
      </c>
      <c r="E6" s="9" t="n">
        <v>-0.0184673907760237</v>
      </c>
      <c r="F6" s="10" t="n">
        <v>0.327868852459016</v>
      </c>
      <c r="G6" s="11" t="n">
        <v>0.99</v>
      </c>
      <c r="H6" s="12" t="s">
        <v>12</v>
      </c>
    </row>
    <row r="7" customFormat="false" ht="15" hidden="false" customHeight="true" outlineLevel="0" collapsed="false">
      <c r="A7" s="5" t="s">
        <v>14</v>
      </c>
      <c r="B7" s="6" t="s">
        <v>11</v>
      </c>
      <c r="C7" s="7" t="n">
        <v>0.132</v>
      </c>
      <c r="D7" s="8" t="n">
        <v>0.218</v>
      </c>
      <c r="E7" s="9" t="n">
        <v>-0.0220664970871636</v>
      </c>
      <c r="F7" s="10" t="n">
        <v>0.307339449541284</v>
      </c>
      <c r="G7" s="11" t="n">
        <v>0.91</v>
      </c>
      <c r="H7" s="12" t="s">
        <v>12</v>
      </c>
    </row>
    <row r="8" customFormat="false" ht="15" hidden="false" customHeight="true" outlineLevel="0" collapsed="false">
      <c r="A8" s="5" t="s">
        <v>15</v>
      </c>
      <c r="B8" s="6" t="s">
        <v>11</v>
      </c>
      <c r="C8" s="7" t="n">
        <v>0.13</v>
      </c>
      <c r="D8" s="8" t="n">
        <v>0.215</v>
      </c>
      <c r="E8" s="9" t="n">
        <v>-0.0217635578160501</v>
      </c>
      <c r="F8" s="10" t="n">
        <v>0.302325581395349</v>
      </c>
      <c r="G8" s="11" t="n">
        <v>0.9</v>
      </c>
      <c r="H8" s="12" t="s">
        <v>12</v>
      </c>
    </row>
    <row r="9" customFormat="false" ht="15" hidden="false" customHeight="true" outlineLevel="0" collapsed="false">
      <c r="A9" s="5" t="s">
        <v>16</v>
      </c>
      <c r="B9" s="6" t="s">
        <v>11</v>
      </c>
      <c r="C9" s="7" t="n">
        <v>0.138</v>
      </c>
      <c r="D9" s="8" t="n">
        <v>0.222</v>
      </c>
      <c r="E9" s="9" t="n">
        <v>-0.0224571886020876</v>
      </c>
      <c r="F9" s="10" t="n">
        <v>0.328828828828829</v>
      </c>
      <c r="G9" s="11" t="n">
        <v>0.82</v>
      </c>
      <c r="H9" s="12" t="s">
        <v>12</v>
      </c>
    </row>
    <row r="10" customFormat="false" ht="15" hidden="false" customHeight="true" outlineLevel="0" collapsed="false">
      <c r="A10" s="5" t="s">
        <v>17</v>
      </c>
      <c r="B10" s="6" t="s">
        <v>11</v>
      </c>
      <c r="C10" s="7" t="n">
        <v>0.142</v>
      </c>
      <c r="D10" s="8" t="n">
        <v>0.238</v>
      </c>
      <c r="E10" s="9" t="n">
        <v>-0.0240993197411484</v>
      </c>
      <c r="F10" s="10" t="n">
        <v>0.323529411764706</v>
      </c>
      <c r="G10" s="11" t="n">
        <v>0.75</v>
      </c>
      <c r="H10" s="12" t="s">
        <v>12</v>
      </c>
    </row>
    <row r="11" customFormat="false" ht="15" hidden="false" customHeight="true" outlineLevel="0" collapsed="false">
      <c r="A11" s="5" t="s">
        <v>18</v>
      </c>
      <c r="B11" s="6" t="s">
        <v>11</v>
      </c>
      <c r="C11" s="7" t="n">
        <v>0.118</v>
      </c>
      <c r="D11" s="8" t="n">
        <v>0.21</v>
      </c>
      <c r="E11" s="9" t="n">
        <v>-0.0212930505652523</v>
      </c>
      <c r="F11" s="10" t="n">
        <v>0.252380952380952</v>
      </c>
      <c r="G11" s="10" t="n">
        <v>0.65</v>
      </c>
      <c r="H11" s="12" t="s">
        <v>12</v>
      </c>
    </row>
    <row r="12" customFormat="false" ht="15" hidden="false" customHeight="true" outlineLevel="0" collapsed="false">
      <c r="A12" s="5" t="s">
        <v>19</v>
      </c>
      <c r="B12" s="6" t="s">
        <v>11</v>
      </c>
      <c r="C12" s="7" t="n">
        <v>0.122</v>
      </c>
      <c r="D12" s="8" t="n">
        <v>0.205</v>
      </c>
      <c r="E12" s="9" t="n">
        <v>-0.0207590512509625</v>
      </c>
      <c r="F12" s="10" t="n">
        <v>0.278048780487805</v>
      </c>
      <c r="G12" s="11" t="n">
        <v>0.78</v>
      </c>
      <c r="H12" s="12" t="s">
        <v>12</v>
      </c>
    </row>
    <row r="13" customFormat="false" ht="15" hidden="false" customHeight="true" outlineLevel="0" collapsed="false">
      <c r="A13" s="13" t="s">
        <v>20</v>
      </c>
      <c r="B13" s="14" t="s">
        <v>21</v>
      </c>
      <c r="C13" s="15" t="n">
        <v>0.145</v>
      </c>
      <c r="D13" s="16" t="n">
        <v>0.262</v>
      </c>
      <c r="E13" s="17" t="n">
        <v>-0.0265744212116443</v>
      </c>
      <c r="F13" s="18" t="n">
        <v>0.305343511450382</v>
      </c>
      <c r="G13" s="19" t="n">
        <v>0.8</v>
      </c>
      <c r="H13" s="20" t="s">
        <v>22</v>
      </c>
    </row>
    <row r="14" customFormat="false" ht="15" hidden="false" customHeight="true" outlineLevel="0" collapsed="false">
      <c r="A14" s="13" t="s">
        <v>23</v>
      </c>
      <c r="B14" s="14" t="s">
        <v>21</v>
      </c>
      <c r="C14" s="15" t="n">
        <v>0.138</v>
      </c>
      <c r="D14" s="16" t="n">
        <v>0.248</v>
      </c>
      <c r="E14" s="17" t="n">
        <v>-0.025151445353855</v>
      </c>
      <c r="F14" s="18" t="n">
        <v>0.294354838709677</v>
      </c>
      <c r="G14" s="19" t="n">
        <v>0.72</v>
      </c>
      <c r="H14" s="20" t="s">
        <v>22</v>
      </c>
    </row>
    <row r="15" customFormat="false" ht="15" hidden="false" customHeight="true" outlineLevel="0" collapsed="false">
      <c r="A15" s="13" t="s">
        <v>24</v>
      </c>
      <c r="B15" s="14" t="s">
        <v>21</v>
      </c>
      <c r="C15" s="15" t="n">
        <v>0.132</v>
      </c>
      <c r="D15" s="16" t="n">
        <v>0.255</v>
      </c>
      <c r="E15" s="17" t="n">
        <v>-0.0259006316954481</v>
      </c>
      <c r="F15" s="18" t="n">
        <v>0.262745098039216</v>
      </c>
      <c r="G15" s="18" t="n">
        <v>0.7</v>
      </c>
      <c r="H15" s="20" t="s">
        <v>22</v>
      </c>
    </row>
    <row r="16" customFormat="false" ht="15" hidden="false" customHeight="true" outlineLevel="0" collapsed="false">
      <c r="A16" s="13" t="s">
        <v>25</v>
      </c>
      <c r="B16" s="14" t="s">
        <v>21</v>
      </c>
      <c r="C16" s="15" t="n">
        <v>0.128</v>
      </c>
      <c r="D16" s="16" t="n">
        <v>0.24</v>
      </c>
      <c r="E16" s="17" t="n">
        <v>-0.0243621258160706</v>
      </c>
      <c r="F16" s="18" t="n">
        <v>0.2625</v>
      </c>
      <c r="G16" s="19" t="n">
        <v>0.85</v>
      </c>
      <c r="H16" s="20" t="s">
        <v>22</v>
      </c>
    </row>
    <row r="17" customFormat="false" ht="15" hidden="false" customHeight="true" outlineLevel="0" collapsed="false">
      <c r="A17" s="13" t="s">
        <v>26</v>
      </c>
      <c r="B17" s="14" t="s">
        <v>21</v>
      </c>
      <c r="C17" s="15" t="n">
        <v>0.135</v>
      </c>
      <c r="D17" s="16" t="n">
        <v>0.258</v>
      </c>
      <c r="E17" s="17" t="n">
        <v>-0.0261996027125934</v>
      </c>
      <c r="F17" s="18" t="n">
        <v>0.271317829457364</v>
      </c>
      <c r="G17" s="19" t="n">
        <v>0.83</v>
      </c>
      <c r="H17" s="20" t="s">
        <v>22</v>
      </c>
    </row>
    <row r="18" customFormat="false" ht="15" hidden="false" customHeight="true" outlineLevel="0" collapsed="false">
      <c r="A18" s="13" t="s">
        <v>27</v>
      </c>
      <c r="B18" s="14" t="s">
        <v>21</v>
      </c>
      <c r="C18" s="15" t="n">
        <v>0.14</v>
      </c>
      <c r="D18" s="16" t="n">
        <v>0.272</v>
      </c>
      <c r="E18" s="17" t="n">
        <v>-0.0276305150783192</v>
      </c>
      <c r="F18" s="18" t="n">
        <v>0.275735294117647</v>
      </c>
      <c r="G18" s="19" t="n">
        <v>0.8</v>
      </c>
      <c r="H18" s="20" t="s">
        <v>28</v>
      </c>
    </row>
    <row r="19" customFormat="false" ht="15" hidden="false" customHeight="true" outlineLevel="0" collapsed="false">
      <c r="A19" s="13" t="s">
        <v>29</v>
      </c>
      <c r="B19" s="14" t="s">
        <v>21</v>
      </c>
      <c r="C19" s="15" t="n">
        <v>0.152</v>
      </c>
      <c r="D19" s="16" t="n">
        <v>0.285</v>
      </c>
      <c r="E19" s="17" t="n">
        <v>-0.0289300244065839</v>
      </c>
      <c r="F19" s="18" t="n">
        <v>0.305263157894737</v>
      </c>
      <c r="G19" s="19" t="n">
        <v>0.76</v>
      </c>
      <c r="H19" s="20" t="s">
        <v>22</v>
      </c>
    </row>
    <row r="20" customFormat="false" ht="15" hidden="false" customHeight="true" outlineLevel="0" collapsed="false">
      <c r="A20" s="13" t="s">
        <v>30</v>
      </c>
      <c r="B20" s="14" t="s">
        <v>21</v>
      </c>
      <c r="C20" s="15" t="n">
        <v>0.118</v>
      </c>
      <c r="D20" s="16" t="n">
        <v>0.252</v>
      </c>
      <c r="E20" s="17" t="n">
        <v>-0.0256453114719535</v>
      </c>
      <c r="F20" s="18" t="n">
        <v>0.21031746031746</v>
      </c>
      <c r="G20" s="18" t="n">
        <v>0.68</v>
      </c>
      <c r="H20" s="20" t="s">
        <v>22</v>
      </c>
    </row>
    <row r="21" customFormat="false" ht="15" hidden="false" customHeight="true" outlineLevel="0" collapsed="false">
      <c r="A21" s="13" t="s">
        <v>31</v>
      </c>
      <c r="B21" s="14" t="s">
        <v>21</v>
      </c>
      <c r="C21" s="15" t="n">
        <v>0.112</v>
      </c>
      <c r="D21" s="16" t="n">
        <v>0.198</v>
      </c>
      <c r="E21" s="17" t="n">
        <v>-0.0200733569728615</v>
      </c>
      <c r="F21" s="18" t="n">
        <v>0.237373737373737</v>
      </c>
      <c r="G21" s="18" t="n">
        <v>0.6</v>
      </c>
      <c r="H21" s="20" t="s">
        <v>32</v>
      </c>
    </row>
    <row r="22" customFormat="false" ht="15" hidden="false" customHeight="true" outlineLevel="0" collapsed="false">
      <c r="A22" s="13" t="s">
        <v>33</v>
      </c>
      <c r="B22" s="14" t="s">
        <v>21</v>
      </c>
      <c r="C22" s="15" t="n">
        <v>0.13</v>
      </c>
      <c r="D22" s="16" t="n">
        <v>0.245</v>
      </c>
      <c r="E22" s="17" t="n">
        <v>-0.024872315606551</v>
      </c>
      <c r="F22" s="18" t="n">
        <v>0.26530612244898</v>
      </c>
      <c r="G22" s="19" t="n">
        <v>0.78</v>
      </c>
      <c r="H22" s="20" t="s">
        <v>34</v>
      </c>
    </row>
    <row r="23" customFormat="false" ht="15" hidden="false" customHeight="true" outlineLevel="0" collapsed="false">
      <c r="A23" s="13" t="s">
        <v>35</v>
      </c>
      <c r="B23" s="14" t="s">
        <v>21</v>
      </c>
      <c r="C23" s="15" t="n">
        <v>0.125</v>
      </c>
      <c r="D23" s="16" t="n">
        <v>0.21</v>
      </c>
      <c r="E23" s="17" t="n">
        <v>-0.0212652727874745</v>
      </c>
      <c r="F23" s="18" t="n">
        <v>0.285714285714286</v>
      </c>
      <c r="G23" s="18" t="n">
        <v>0.62</v>
      </c>
      <c r="H23" s="20" t="s">
        <v>32</v>
      </c>
    </row>
    <row r="24" customFormat="false" ht="15" hidden="false" customHeight="true" outlineLevel="0" collapsed="false">
      <c r="A24" s="13" t="s">
        <v>36</v>
      </c>
      <c r="B24" s="14" t="s">
        <v>21</v>
      </c>
      <c r="C24" s="15" t="n">
        <v>0.128</v>
      </c>
      <c r="D24" s="16" t="n">
        <v>0.235</v>
      </c>
      <c r="E24" s="17" t="n">
        <v>-0.0238439995176538</v>
      </c>
      <c r="F24" s="18" t="n">
        <v>0.268085106382979</v>
      </c>
      <c r="G24" s="19" t="n">
        <v>0.74</v>
      </c>
      <c r="H24" s="20" t="s">
        <v>37</v>
      </c>
    </row>
    <row r="25" customFormat="false" ht="15" hidden="false" customHeight="true" outlineLevel="0" collapsed="false">
      <c r="A25" s="13" t="s">
        <v>38</v>
      </c>
      <c r="B25" s="14" t="s">
        <v>21</v>
      </c>
      <c r="C25" s="15" t="n">
        <v>0.115</v>
      </c>
      <c r="D25" s="16" t="n">
        <v>0.228</v>
      </c>
      <c r="E25" s="17" t="n">
        <v>-0.0231702100014576</v>
      </c>
      <c r="F25" s="18" t="n">
        <v>0.219298245614035</v>
      </c>
      <c r="G25" s="18" t="n">
        <v>0.58</v>
      </c>
      <c r="H25" s="20" t="s">
        <v>39</v>
      </c>
    </row>
    <row r="26" customFormat="false" ht="15" hidden="false" customHeight="true" outlineLevel="0" collapsed="false">
      <c r="A26" s="13" t="s">
        <v>40</v>
      </c>
      <c r="B26" s="14" t="s">
        <v>21</v>
      </c>
      <c r="C26" s="15" t="n">
        <v>0.148</v>
      </c>
      <c r="D26" s="16" t="n">
        <v>0.268</v>
      </c>
      <c r="E26" s="17" t="n">
        <v>-0.0271842680078397</v>
      </c>
      <c r="F26" s="18" t="n">
        <v>0.309701492537313</v>
      </c>
      <c r="G26" s="18" t="n">
        <v>0.7</v>
      </c>
      <c r="H26" s="20" t="s">
        <v>41</v>
      </c>
    </row>
    <row r="27" customFormat="false" ht="15" hidden="false" customHeight="true" outlineLevel="0" collapsed="false">
      <c r="A27" s="21" t="s">
        <v>42</v>
      </c>
      <c r="B27" s="22" t="s">
        <v>43</v>
      </c>
      <c r="C27" s="23" t="n">
        <v>0.182</v>
      </c>
      <c r="D27" s="24" t="n">
        <v>0.228</v>
      </c>
      <c r="E27" s="25" t="n">
        <v>-0.0229043369855846</v>
      </c>
      <c r="F27" s="26" t="n">
        <v>0.600877192982456</v>
      </c>
      <c r="G27" s="27" t="n">
        <v>0.42</v>
      </c>
      <c r="H27" s="28" t="s">
        <v>12</v>
      </c>
    </row>
    <row r="28" customFormat="false" ht="15" hidden="false" customHeight="true" outlineLevel="0" collapsed="false">
      <c r="A28" s="21" t="s">
        <v>44</v>
      </c>
      <c r="B28" s="22" t="s">
        <v>43</v>
      </c>
      <c r="C28" s="23" t="n">
        <v>0.148</v>
      </c>
      <c r="D28" s="24" t="n">
        <v>0.185</v>
      </c>
      <c r="E28" s="25" t="n">
        <v>-0.0185833714541206</v>
      </c>
      <c r="F28" s="26" t="n">
        <v>0.556756756756757</v>
      </c>
      <c r="G28" s="27" t="n">
        <v>0.45</v>
      </c>
      <c r="H28" s="28" t="s">
        <v>12</v>
      </c>
    </row>
    <row r="29" customFormat="false" ht="15" hidden="false" customHeight="true" outlineLevel="0" collapsed="false">
      <c r="A29" s="21" t="s">
        <v>45</v>
      </c>
      <c r="B29" s="22" t="s">
        <v>43</v>
      </c>
      <c r="C29" s="24" t="n">
        <v>0.082</v>
      </c>
      <c r="D29" s="24" t="n">
        <v>0.155</v>
      </c>
      <c r="E29" s="25" t="n">
        <v>-0.0157365184255245</v>
      </c>
      <c r="F29" s="27" t="n">
        <v>0.109677419354839</v>
      </c>
      <c r="G29" s="27" t="n">
        <v>0.35</v>
      </c>
      <c r="H29" s="28" t="s">
        <v>12</v>
      </c>
    </row>
    <row r="30" customFormat="false" ht="15" hidden="false" customHeight="true" outlineLevel="0" collapsed="false">
      <c r="A30" s="21" t="s">
        <v>46</v>
      </c>
      <c r="B30" s="22" t="s">
        <v>43</v>
      </c>
      <c r="C30" s="23" t="n">
        <v>0.102</v>
      </c>
      <c r="D30" s="24" t="n">
        <v>0.195</v>
      </c>
      <c r="E30" s="25" t="n">
        <v>-0.0198021637334939</v>
      </c>
      <c r="F30" s="27" t="n">
        <v>0.18974358974359</v>
      </c>
      <c r="G30" s="27" t="n">
        <v>0.38</v>
      </c>
      <c r="H30" s="28" t="s">
        <v>12</v>
      </c>
    </row>
    <row r="31" customFormat="false" ht="15" hidden="false" customHeight="true" outlineLevel="0" collapsed="false">
      <c r="A31" s="21" t="s">
        <v>47</v>
      </c>
      <c r="B31" s="22" t="s">
        <v>43</v>
      </c>
      <c r="C31" s="24" t="n">
        <v>0.092</v>
      </c>
      <c r="D31" s="24" t="n">
        <v>0.188</v>
      </c>
      <c r="E31" s="25" t="n">
        <v>-0.0191164694553929</v>
      </c>
      <c r="F31" s="27" t="n">
        <v>0.143617021276596</v>
      </c>
      <c r="G31" s="27" t="n">
        <v>0.32</v>
      </c>
      <c r="H31" s="28" t="s">
        <v>12</v>
      </c>
    </row>
    <row r="32" customFormat="false" ht="15" hidden="false" customHeight="true" outlineLevel="0" collapsed="false">
      <c r="A32" s="21" t="s">
        <v>48</v>
      </c>
      <c r="B32" s="22" t="s">
        <v>43</v>
      </c>
      <c r="C32" s="24" t="n">
        <v>0.055</v>
      </c>
      <c r="D32" s="24" t="n">
        <v>0.225</v>
      </c>
      <c r="E32" s="25" t="n">
        <v>-0.0230974294605027</v>
      </c>
      <c r="F32" s="29" t="n">
        <v>-0.0444444444444445</v>
      </c>
      <c r="G32" s="27" t="n">
        <v>0.4</v>
      </c>
      <c r="H32" s="28" t="s">
        <v>12</v>
      </c>
    </row>
    <row r="33" customFormat="false" ht="15" hidden="false" customHeight="true" outlineLevel="0" collapsed="false">
      <c r="A33" s="30" t="s">
        <v>49</v>
      </c>
      <c r="B33" s="31" t="s">
        <v>50</v>
      </c>
      <c r="C33" s="32" t="n">
        <v>0.212</v>
      </c>
      <c r="D33" s="33" t="n">
        <v>0.295</v>
      </c>
      <c r="E33" s="34" t="n">
        <v>-0.0297281817653223</v>
      </c>
      <c r="F33" s="35" t="n">
        <v>0.566101694915254</v>
      </c>
      <c r="G33" s="36" t="n">
        <v>0.38</v>
      </c>
      <c r="H33" s="37" t="s">
        <v>51</v>
      </c>
    </row>
    <row r="34" customFormat="false" ht="15" hidden="false" customHeight="true" outlineLevel="0" collapsed="false">
      <c r="A34" s="30" t="s">
        <v>52</v>
      </c>
      <c r="B34" s="31" t="s">
        <v>50</v>
      </c>
      <c r="C34" s="32" t="n">
        <v>0.198</v>
      </c>
      <c r="D34" s="33" t="n">
        <v>0.278</v>
      </c>
      <c r="E34" s="34" t="n">
        <v>-0.0280221079062607</v>
      </c>
      <c r="F34" s="35" t="n">
        <v>0.550359712230216</v>
      </c>
      <c r="G34" s="36" t="n">
        <v>0.4</v>
      </c>
      <c r="H34" s="37" t="s">
        <v>51</v>
      </c>
    </row>
    <row r="35" customFormat="false" ht="15" hidden="false" customHeight="true" outlineLevel="0" collapsed="false">
      <c r="A35" s="30" t="s">
        <v>53</v>
      </c>
      <c r="B35" s="31" t="s">
        <v>50</v>
      </c>
      <c r="C35" s="32" t="n">
        <v>0.325</v>
      </c>
      <c r="D35" s="38" t="n">
        <v>0.512</v>
      </c>
      <c r="E35" s="34" t="n">
        <v>-0.0517664504181994</v>
      </c>
      <c r="F35" s="35" t="n">
        <v>0.546875</v>
      </c>
      <c r="G35" s="36" t="n">
        <v>0.35</v>
      </c>
      <c r="H35" s="37" t="s">
        <v>54</v>
      </c>
    </row>
    <row r="36" customFormat="false" ht="15" hidden="false" customHeight="true" outlineLevel="0" collapsed="false">
      <c r="A36" s="30" t="s">
        <v>55</v>
      </c>
      <c r="B36" s="31" t="s">
        <v>50</v>
      </c>
      <c r="C36" s="32" t="n">
        <v>0.178</v>
      </c>
      <c r="D36" s="33" t="n">
        <v>0.285</v>
      </c>
      <c r="E36" s="34" t="n">
        <v>-0.0288268498034093</v>
      </c>
      <c r="F36" s="36" t="n">
        <v>0.466666666666667</v>
      </c>
      <c r="G36" s="36" t="n">
        <v>0.38</v>
      </c>
      <c r="H36" s="37" t="s">
        <v>51</v>
      </c>
    </row>
    <row r="37" customFormat="false" ht="15" hidden="false" customHeight="true" outlineLevel="0" collapsed="false">
      <c r="A37" s="30" t="s">
        <v>56</v>
      </c>
      <c r="B37" s="31" t="s">
        <v>50</v>
      </c>
      <c r="C37" s="32" t="n">
        <v>0.195</v>
      </c>
      <c r="D37" s="38" t="n">
        <v>0.312</v>
      </c>
      <c r="E37" s="34" t="n">
        <v>-0.0315572714973998</v>
      </c>
      <c r="F37" s="36" t="n">
        <v>0.480769230769231</v>
      </c>
      <c r="G37" s="36" t="n">
        <v>0.36</v>
      </c>
      <c r="H37" s="37" t="s">
        <v>51</v>
      </c>
    </row>
    <row r="38" customFormat="false" ht="15" hidden="false" customHeight="true" outlineLevel="0" collapsed="false">
      <c r="A38" s="30" t="s">
        <v>57</v>
      </c>
      <c r="B38" s="31" t="s">
        <v>50</v>
      </c>
      <c r="C38" s="32" t="n">
        <v>0.285</v>
      </c>
      <c r="D38" s="38" t="n">
        <v>0.625</v>
      </c>
      <c r="E38" s="34" t="n">
        <v>-0.0636348349211496</v>
      </c>
      <c r="F38" s="36" t="n">
        <v>0.384</v>
      </c>
      <c r="G38" s="39" t="n">
        <v>0.28</v>
      </c>
      <c r="H38" s="37" t="s">
        <v>58</v>
      </c>
    </row>
    <row r="39" customFormat="false" ht="15" hidden="false" customHeight="true" outlineLevel="0" collapsed="false">
      <c r="A39" s="30" t="s">
        <v>59</v>
      </c>
      <c r="B39" s="31" t="s">
        <v>50</v>
      </c>
      <c r="C39" s="32" t="n">
        <v>0.22</v>
      </c>
      <c r="D39" s="38" t="n">
        <v>0.38</v>
      </c>
      <c r="E39" s="34" t="n">
        <v>-0.0385045828066621</v>
      </c>
      <c r="F39" s="36" t="n">
        <v>0.460526315789474</v>
      </c>
      <c r="G39" s="36" t="n">
        <v>0.36</v>
      </c>
      <c r="H39" s="37" t="s">
        <v>51</v>
      </c>
    </row>
    <row r="40" customFormat="false" ht="15" hidden="false" customHeight="true" outlineLevel="0" collapsed="false">
      <c r="A40" s="40" t="s">
        <v>60</v>
      </c>
      <c r="B40" s="41" t="s">
        <v>61</v>
      </c>
      <c r="C40" s="42" t="n">
        <v>0.038</v>
      </c>
      <c r="D40" s="42" t="n">
        <v>0.055</v>
      </c>
      <c r="E40" s="43" t="n">
        <v>-0.00554859563179132</v>
      </c>
      <c r="F40" s="44" t="n">
        <v>-0.490909090909091</v>
      </c>
      <c r="G40" s="45" t="n">
        <v>-0.35</v>
      </c>
      <c r="H40" s="46" t="s">
        <v>62</v>
      </c>
    </row>
    <row r="41" customFormat="false" ht="15" hidden="false" customHeight="true" outlineLevel="0" collapsed="false">
      <c r="A41" s="40" t="s">
        <v>63</v>
      </c>
      <c r="B41" s="41" t="s">
        <v>61</v>
      </c>
      <c r="C41" s="42" t="n">
        <v>0.032</v>
      </c>
      <c r="D41" s="42" t="n">
        <v>0.072</v>
      </c>
      <c r="E41" s="43" t="n">
        <v>-0.00733403457021802</v>
      </c>
      <c r="F41" s="44" t="n">
        <v>-0.458333333333333</v>
      </c>
      <c r="G41" s="47" t="n">
        <v>-0.28</v>
      </c>
      <c r="H41" s="46" t="s">
        <v>62</v>
      </c>
    </row>
    <row r="42" customFormat="false" ht="15" hidden="false" customHeight="true" outlineLevel="0" collapsed="false">
      <c r="A42" s="40" t="s">
        <v>64</v>
      </c>
      <c r="B42" s="41" t="s">
        <v>61</v>
      </c>
      <c r="C42" s="42" t="n">
        <v>0.028</v>
      </c>
      <c r="D42" s="42" t="n">
        <v>0.082</v>
      </c>
      <c r="E42" s="43" t="n">
        <v>-0.00838616018292467</v>
      </c>
      <c r="F42" s="44" t="n">
        <v>-0.451219512195122</v>
      </c>
      <c r="G42" s="47" t="n">
        <v>-0.25</v>
      </c>
      <c r="H42" s="46" t="s">
        <v>62</v>
      </c>
    </row>
    <row r="43" customFormat="false" ht="15" hidden="false" customHeight="true" outlineLevel="0" collapsed="false">
      <c r="A43" s="40" t="s">
        <v>65</v>
      </c>
      <c r="B43" s="41" t="s">
        <v>61</v>
      </c>
      <c r="C43" s="42" t="n">
        <v>-0.015</v>
      </c>
      <c r="D43" s="42" t="n">
        <v>0.068</v>
      </c>
      <c r="E43" s="43" t="n">
        <v>-0.0071060414679925</v>
      </c>
      <c r="F43" s="44" t="n">
        <v>-1.17647058823529</v>
      </c>
      <c r="G43" s="47" t="n">
        <v>-0.2</v>
      </c>
      <c r="H43" s="46" t="s">
        <v>62</v>
      </c>
    </row>
    <row r="44" customFormat="false" ht="15" hidden="false" customHeight="true" outlineLevel="0" collapsed="false">
      <c r="A44" s="40" t="s">
        <v>66</v>
      </c>
      <c r="B44" s="41" t="s">
        <v>61</v>
      </c>
      <c r="C44" s="42" t="n">
        <v>0.022</v>
      </c>
      <c r="D44" s="42" t="n">
        <v>0.085</v>
      </c>
      <c r="E44" s="43" t="n">
        <v>-0.00872084548578428</v>
      </c>
      <c r="F44" s="44" t="n">
        <v>-0.505882352941176</v>
      </c>
      <c r="G44" s="47" t="n">
        <v>-0.18</v>
      </c>
      <c r="H44" s="46" t="s">
        <v>62</v>
      </c>
    </row>
    <row r="45" customFormat="false" ht="15" hidden="false" customHeight="true" outlineLevel="0" collapsed="false">
      <c r="A45" s="48" t="s">
        <v>67</v>
      </c>
      <c r="B45" s="49" t="s">
        <v>68</v>
      </c>
      <c r="C45" s="50" t="n">
        <v>0.098</v>
      </c>
      <c r="D45" s="50" t="n">
        <v>0.148</v>
      </c>
      <c r="E45" s="51" t="n">
        <v>-0.0149476495442489</v>
      </c>
      <c r="F45" s="52" t="n">
        <v>0.222972972972973</v>
      </c>
      <c r="G45" s="53" t="n">
        <v>-0.15</v>
      </c>
      <c r="H45" s="54" t="s">
        <v>69</v>
      </c>
    </row>
    <row r="46" customFormat="false" ht="15" hidden="false" customHeight="true" outlineLevel="0" collapsed="false">
      <c r="A46" s="48" t="s">
        <v>70</v>
      </c>
      <c r="B46" s="49" t="s">
        <v>68</v>
      </c>
      <c r="C46" s="50" t="n">
        <v>0.088</v>
      </c>
      <c r="D46" s="50" t="n">
        <v>0.265</v>
      </c>
      <c r="E46" s="51" t="n">
        <v>-0.0271114874668849</v>
      </c>
      <c r="F46" s="52" t="n">
        <v>0.0867924528301887</v>
      </c>
      <c r="G46" s="53" t="n">
        <v>-0.1</v>
      </c>
      <c r="H46" s="54" t="s">
        <v>69</v>
      </c>
    </row>
    <row r="47" customFormat="false" ht="15" hidden="false" customHeight="true" outlineLevel="0" collapsed="false">
      <c r="A47" s="48" t="s">
        <v>71</v>
      </c>
      <c r="B47" s="49" t="s">
        <v>68</v>
      </c>
      <c r="C47" s="50" t="n">
        <v>0.062</v>
      </c>
      <c r="D47" s="55" t="n">
        <v>0.382</v>
      </c>
      <c r="E47" s="51" t="n">
        <v>-0.039338817453013</v>
      </c>
      <c r="F47" s="56" t="n">
        <v>-0.00785340314136126</v>
      </c>
      <c r="G47" s="53" t="n">
        <v>-0.05</v>
      </c>
      <c r="H47" s="54" t="s">
        <v>72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1" width="16"/>
  </cols>
  <sheetData>
    <row r="1" customFormat="false" ht="27.7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57" t="s">
        <v>74</v>
      </c>
      <c r="B3" s="57"/>
      <c r="C3" s="57"/>
      <c r="D3" s="57"/>
      <c r="E3" s="57"/>
      <c r="F3" s="57"/>
      <c r="G3" s="57"/>
      <c r="H3" s="57"/>
      <c r="I3" s="57"/>
      <c r="J3" s="57"/>
    </row>
    <row r="4" customFormat="false" ht="15" hidden="false" customHeight="true" outlineLevel="0" collapsed="false">
      <c r="A4" s="58" t="s">
        <v>75</v>
      </c>
      <c r="B4" s="59" t="n">
        <v>1000000</v>
      </c>
    </row>
    <row r="5" customFormat="false" ht="15" hidden="false" customHeight="true" outlineLevel="0" collapsed="false">
      <c r="A5" s="58" t="s">
        <v>76</v>
      </c>
      <c r="B5" s="60" t="n">
        <v>0.125</v>
      </c>
    </row>
    <row r="6" customFormat="false" ht="15" hidden="false" customHeight="true" outlineLevel="0" collapsed="false">
      <c r="A6" s="58" t="s">
        <v>77</v>
      </c>
      <c r="B6" s="60" t="n">
        <v>0.183</v>
      </c>
    </row>
    <row r="7" customFormat="false" ht="15" hidden="false" customHeight="true" outlineLevel="0" collapsed="false">
      <c r="A7" s="58" t="s">
        <v>78</v>
      </c>
      <c r="B7" s="61" t="n">
        <v>1</v>
      </c>
    </row>
    <row r="8" customFormat="false" ht="15" hidden="false" customHeight="true" outlineLevel="0" collapsed="false">
      <c r="A8" s="58" t="s">
        <v>79</v>
      </c>
      <c r="B8" s="59" t="n">
        <v>10000</v>
      </c>
    </row>
    <row r="9" customFormat="false" ht="15" hidden="false" customHeight="true" outlineLevel="0" collapsed="false">
      <c r="A9" s="58" t="s">
        <v>80</v>
      </c>
      <c r="B9" s="60" t="n">
        <v>0.95</v>
      </c>
    </row>
    <row r="10" customFormat="false" ht="15" hidden="false" customHeight="true" outlineLevel="0" collapsed="false">
      <c r="A10" s="58" t="s">
        <v>81</v>
      </c>
      <c r="B10" s="60" t="n">
        <v>0.065</v>
      </c>
    </row>
    <row r="11" customFormat="false" ht="15" hidden="false" customHeight="true" outlineLevel="0" collapsed="false">
      <c r="A11" s="58" t="s">
        <v>82</v>
      </c>
      <c r="B11" s="61" t="n">
        <v>252</v>
      </c>
    </row>
    <row r="12" customFormat="false" ht="15" hidden="false" customHeight="true" outlineLevel="0" collapsed="false">
      <c r="A12" s="58" t="s">
        <v>83</v>
      </c>
      <c r="B12" s="62" t="n">
        <v>1</v>
      </c>
    </row>
    <row r="14" customFormat="false" ht="15" hidden="false" customHeight="true" outlineLevel="0" collapsed="false">
      <c r="A14" s="63" t="s">
        <v>84</v>
      </c>
      <c r="B14" s="63"/>
      <c r="C14" s="63"/>
      <c r="D14" s="63"/>
      <c r="E14" s="63"/>
      <c r="F14" s="63"/>
      <c r="G14" s="63"/>
      <c r="H14" s="63"/>
      <c r="I14" s="63"/>
      <c r="J14" s="63"/>
    </row>
    <row r="15" customFormat="false" ht="15" hidden="false" customHeight="true" outlineLevel="0" collapsed="false">
      <c r="A15" s="64" t="s">
        <v>85</v>
      </c>
      <c r="B15" s="65" t="n">
        <f aca="false">B5/B11</f>
        <v>0.000496031746031746</v>
      </c>
    </row>
    <row r="16" customFormat="false" ht="15" hidden="false" customHeight="true" outlineLevel="0" collapsed="false">
      <c r="A16" s="64" t="s">
        <v>86</v>
      </c>
      <c r="B16" s="65" t="n">
        <f aca="false">B6/SQRT(B11)*B12</f>
        <v>0.0115279164267814</v>
      </c>
    </row>
    <row r="17" customFormat="false" ht="15" hidden="false" customHeight="true" outlineLevel="0" collapsed="false">
      <c r="A17" s="64" t="s">
        <v>87</v>
      </c>
      <c r="B17" s="65" t="n">
        <f aca="false">(B5-B6^2/2)/B11</f>
        <v>0.000429585317460318</v>
      </c>
    </row>
    <row r="18" customFormat="false" ht="15" hidden="false" customHeight="true" outlineLevel="0" collapsed="false">
      <c r="A18" s="64" t="s">
        <v>88</v>
      </c>
      <c r="B18" s="66" t="n">
        <f aca="false">B7*B11</f>
        <v>252</v>
      </c>
    </row>
    <row r="19" customFormat="false" ht="15" hidden="false" customHeight="true" outlineLevel="0" collapsed="false">
      <c r="A19" s="64" t="s">
        <v>89</v>
      </c>
      <c r="B19" s="67" t="n">
        <v>1.645</v>
      </c>
    </row>
    <row r="20" customFormat="false" ht="15" hidden="false" customHeight="true" outlineLevel="0" collapsed="false">
      <c r="A20" s="64" t="s">
        <v>90</v>
      </c>
      <c r="B20" s="68" t="n">
        <f aca="false">B4*(B16*B19)</f>
        <v>18963.4225220555</v>
      </c>
    </row>
    <row r="21" customFormat="false" ht="15" hidden="false" customHeight="true" outlineLevel="0" collapsed="false">
      <c r="A21" s="64" t="s">
        <v>91</v>
      </c>
      <c r="B21" s="68" t="n">
        <f aca="false">B20*SQRT(B18)</f>
        <v>301035</v>
      </c>
    </row>
    <row r="22" customFormat="false" ht="15" hidden="false" customHeight="true" outlineLevel="0" collapsed="false">
      <c r="A22" s="64" t="s">
        <v>92</v>
      </c>
      <c r="B22" s="68" t="n">
        <f aca="false">B4*EXP(B5*B7)</f>
        <v>1133148.45306683</v>
      </c>
    </row>
    <row r="23" customFormat="false" ht="15" hidden="false" customHeight="true" outlineLevel="0" collapsed="false">
      <c r="A23" s="64" t="s">
        <v>93</v>
      </c>
      <c r="B23" s="68" t="n">
        <f aca="false">B22-B4</f>
        <v>133148.453066826</v>
      </c>
    </row>
    <row r="24" customFormat="false" ht="15" hidden="false" customHeight="true" outlineLevel="0" collapsed="false">
      <c r="A24" s="64" t="s">
        <v>7</v>
      </c>
      <c r="B24" s="69" t="n">
        <f aca="false">(B5-B10)/B6</f>
        <v>0.327868852459016</v>
      </c>
    </row>
    <row r="25" customFormat="false" ht="15" hidden="false" customHeight="true" outlineLevel="0" collapsed="false">
      <c r="A25" s="64" t="s">
        <v>94</v>
      </c>
      <c r="B25" s="70" t="n">
        <f aca="false">(B5-B10)/B6/10+0.5</f>
        <v>0.532786885245902</v>
      </c>
    </row>
    <row r="28" customFormat="false" ht="15" hidden="false" customHeight="true" outlineLevel="0" collapsed="false">
      <c r="A28" s="71" t="s">
        <v>95</v>
      </c>
      <c r="B28" s="71"/>
      <c r="C28" s="71"/>
      <c r="D28" s="71"/>
      <c r="E28" s="71"/>
      <c r="F28" s="71"/>
      <c r="G28" s="71"/>
      <c r="H28" s="71"/>
      <c r="I28" s="71"/>
      <c r="J28" s="71"/>
    </row>
    <row r="29" customFormat="false" ht="30" hidden="false" customHeight="true" outlineLevel="0" collapsed="false">
      <c r="A29" s="72" t="s">
        <v>96</v>
      </c>
      <c r="B29" s="72" t="s">
        <v>97</v>
      </c>
      <c r="C29" s="72" t="s">
        <v>98</v>
      </c>
      <c r="D29" s="72" t="s">
        <v>99</v>
      </c>
      <c r="E29" s="72" t="s">
        <v>100</v>
      </c>
      <c r="F29" s="72" t="s">
        <v>101</v>
      </c>
      <c r="G29" s="72" t="s">
        <v>102</v>
      </c>
      <c r="H29" s="72" t="s">
        <v>103</v>
      </c>
      <c r="I29" s="72" t="s">
        <v>104</v>
      </c>
      <c r="J29" s="72" t="s">
        <v>105</v>
      </c>
    </row>
    <row r="30" customFormat="false" ht="15" hidden="false" customHeight="true" outlineLevel="0" collapsed="false">
      <c r="A30" s="73" t="n">
        <v>1</v>
      </c>
      <c r="B30" s="74" t="n">
        <f aca="false">$B$17</f>
        <v>0.000429585317460318</v>
      </c>
      <c r="C30" s="75" t="n">
        <v>0.52</v>
      </c>
      <c r="D30" s="74" t="n">
        <f aca="false">$B$16*C30</f>
        <v>0.00599451654192634</v>
      </c>
      <c r="E30" s="74" t="n">
        <f aca="false">B30+D30</f>
        <v>0.00642410185938666</v>
      </c>
      <c r="F30" s="76" t="n">
        <f aca="false">$B$4*EXP(E30)</f>
        <v>1006444.78065893</v>
      </c>
      <c r="G30" s="77" t="n">
        <f aca="false">F30/$B$4-1</f>
        <v>0.00644478065892584</v>
      </c>
      <c r="H30" s="78" t="n">
        <f aca="false">F30-$B$4</f>
        <v>6444.78065892588</v>
      </c>
      <c r="I30" s="79" t="n">
        <f aca="false">$B$4*EXP(($B$17-$B$16*1.645)*A30)</f>
        <v>981636.858182611</v>
      </c>
      <c r="J30" s="80" t="n">
        <f aca="false">$B$4*EXP(($B$17+$B$16*1.645)*A30)</f>
        <v>1019582.27371445</v>
      </c>
    </row>
    <row r="31" customFormat="false" ht="15" hidden="false" customHeight="true" outlineLevel="0" collapsed="false">
      <c r="A31" s="81" t="n">
        <v>2</v>
      </c>
      <c r="B31" s="82" t="n">
        <f aca="false">$B$17</f>
        <v>0.000429585317460318</v>
      </c>
      <c r="C31" s="83" t="n">
        <v>-0.83</v>
      </c>
      <c r="D31" s="82" t="n">
        <f aca="false">$B$16*C31</f>
        <v>-0.00956817063422859</v>
      </c>
      <c r="E31" s="82" t="n">
        <f aca="false">B31+D31</f>
        <v>-0.00913858531676827</v>
      </c>
      <c r="F31" s="84" t="n">
        <f aca="false">F30*EXP(E31)</f>
        <v>997289.197421524</v>
      </c>
      <c r="G31" s="85" t="n">
        <f aca="false">F31/$B$4-1</f>
        <v>-0.00271080257847622</v>
      </c>
      <c r="H31" s="86" t="n">
        <f aca="false">F31-$B$4</f>
        <v>-2710.80257847626</v>
      </c>
      <c r="I31" s="87" t="n">
        <f aca="false">$B$4*EXP(($B$17-$B$16*1.645)*A31)</f>
        <v>963610.921342628</v>
      </c>
      <c r="J31" s="88" t="n">
        <f aca="false">$B$4*EXP(($B$17+$B$16*1.645)*A31)</f>
        <v>1039548.01287273</v>
      </c>
    </row>
    <row r="32" customFormat="false" ht="15" hidden="false" customHeight="true" outlineLevel="0" collapsed="false">
      <c r="A32" s="73" t="n">
        <v>3</v>
      </c>
      <c r="B32" s="74" t="n">
        <f aca="false">$B$17</f>
        <v>0.000429585317460318</v>
      </c>
      <c r="C32" s="75" t="n">
        <v>1.24</v>
      </c>
      <c r="D32" s="74" t="n">
        <f aca="false">$B$16*C32</f>
        <v>0.014294616369209</v>
      </c>
      <c r="E32" s="74" t="n">
        <f aca="false">B32+D32</f>
        <v>0.0147242016866693</v>
      </c>
      <c r="F32" s="76" t="n">
        <f aca="false">F31*EXP(E32)</f>
        <v>1012082.12446443</v>
      </c>
      <c r="G32" s="77" t="n">
        <f aca="false">F32/$B$4-1</f>
        <v>0.0120821244644289</v>
      </c>
      <c r="H32" s="78" t="n">
        <f aca="false">F32-$B$4</f>
        <v>12082.124464429</v>
      </c>
      <c r="I32" s="79" t="n">
        <f aca="false">$B$4*EXP(($B$17-$B$16*1.645)*A32)</f>
        <v>945915.997337228</v>
      </c>
      <c r="J32" s="80" t="n">
        <f aca="false">$B$4*EXP(($B$17+$B$16*1.645)*A32)</f>
        <v>1059904.72660012</v>
      </c>
    </row>
    <row r="33" customFormat="false" ht="15" hidden="false" customHeight="true" outlineLevel="0" collapsed="false">
      <c r="A33" s="81" t="n">
        <v>4</v>
      </c>
      <c r="B33" s="82" t="n">
        <f aca="false">$B$17</f>
        <v>0.000429585317460318</v>
      </c>
      <c r="C33" s="83" t="n">
        <v>-0.41</v>
      </c>
      <c r="D33" s="82" t="n">
        <f aca="false">$B$16*C33</f>
        <v>-0.00472644573498039</v>
      </c>
      <c r="E33" s="82" t="n">
        <f aca="false">B33+D33</f>
        <v>-0.00429686041752007</v>
      </c>
      <c r="F33" s="84" t="n">
        <f aca="false">F32*EXP(E33)</f>
        <v>1007742.6785179</v>
      </c>
      <c r="G33" s="85" t="n">
        <f aca="false">F33/$B$4-1</f>
        <v>0.00774267851789956</v>
      </c>
      <c r="H33" s="86" t="n">
        <f aca="false">F33-$B$4</f>
        <v>7742.67851789959</v>
      </c>
      <c r="I33" s="87" t="n">
        <f aca="false">$B$4*EXP(($B$17-$B$16*1.645)*A33)</f>
        <v>928546.007730787</v>
      </c>
      <c r="J33" s="88" t="n">
        <f aca="false">$B$4*EXP(($B$17+$B$16*1.645)*A33)</f>
        <v>1080660.07106764</v>
      </c>
    </row>
    <row r="34" customFormat="false" ht="15" hidden="false" customHeight="true" outlineLevel="0" collapsed="false">
      <c r="A34" s="73" t="n">
        <v>5</v>
      </c>
      <c r="B34" s="74" t="n">
        <f aca="false">$B$17</f>
        <v>0.000429585317460318</v>
      </c>
      <c r="C34" s="75" t="n">
        <v>0.98</v>
      </c>
      <c r="D34" s="74" t="n">
        <f aca="false">$B$16*C34</f>
        <v>0.0112973580982458</v>
      </c>
      <c r="E34" s="74" t="n">
        <f aca="false">B34+D34</f>
        <v>0.0117269434157061</v>
      </c>
      <c r="F34" s="76" t="n">
        <f aca="false">F33*EXP(E34)</f>
        <v>1019629.98453961</v>
      </c>
      <c r="G34" s="77" t="n">
        <f aca="false">F34/$B$4-1</f>
        <v>0.0196299845396066</v>
      </c>
      <c r="H34" s="78" t="n">
        <f aca="false">F34-$B$4</f>
        <v>19629.9845396066</v>
      </c>
      <c r="I34" s="79" t="n">
        <f aca="false">$B$4*EXP(($B$17-$B$16*1.645)*A34)</f>
        <v>911494.985706857</v>
      </c>
      <c r="J34" s="80" t="n">
        <f aca="false">$B$4*EXP(($B$17+$B$16*1.645)*A34)</f>
        <v>1101821.85237156</v>
      </c>
    </row>
    <row r="35" customFormat="false" ht="15" hidden="false" customHeight="true" outlineLevel="0" collapsed="false">
      <c r="A35" s="81" t="n">
        <v>6</v>
      </c>
      <c r="B35" s="82" t="n">
        <f aca="false">$B$17</f>
        <v>0.000429585317460318</v>
      </c>
      <c r="C35" s="83" t="n">
        <v>-1.35</v>
      </c>
      <c r="D35" s="82" t="n">
        <f aca="false">$B$16*C35</f>
        <v>-0.0155626871761549</v>
      </c>
      <c r="E35" s="82" t="n">
        <f aca="false">B35+D35</f>
        <v>-0.0151331018586946</v>
      </c>
      <c r="F35" s="84" t="n">
        <f aca="false">F34*EXP(E35)</f>
        <v>1004315.98652605</v>
      </c>
      <c r="G35" s="85" t="n">
        <f aca="false">F35/$B$4-1</f>
        <v>0.00431598652605092</v>
      </c>
      <c r="H35" s="86" t="n">
        <f aca="false">F35-$B$4</f>
        <v>4315.98652605095</v>
      </c>
      <c r="I35" s="87" t="n">
        <f aca="false">$B$4*EXP(($B$17-$B$16*1.645)*A35)</f>
        <v>894757.074018483</v>
      </c>
      <c r="J35" s="88" t="n">
        <f aca="false">$B$4*EXP(($B$17+$B$16*1.645)*A35)</f>
        <v>1123398.02946927</v>
      </c>
    </row>
    <row r="36" customFormat="false" ht="15" hidden="false" customHeight="true" outlineLevel="0" collapsed="false">
      <c r="A36" s="73" t="n">
        <v>7</v>
      </c>
      <c r="B36" s="74" t="n">
        <f aca="false">$B$17</f>
        <v>0.000429585317460318</v>
      </c>
      <c r="C36" s="75" t="n">
        <v>0.67</v>
      </c>
      <c r="D36" s="74" t="n">
        <f aca="false">$B$16*C36</f>
        <v>0.00772370400594356</v>
      </c>
      <c r="E36" s="74" t="n">
        <f aca="false">B36+D36</f>
        <v>0.00815328932340388</v>
      </c>
      <c r="F36" s="76" t="n">
        <f aca="false">F35*EXP(E36)</f>
        <v>1012537.93776303</v>
      </c>
      <c r="G36" s="77" t="n">
        <f aca="false">F36/$B$4-1</f>
        <v>0.012537937763031</v>
      </c>
      <c r="H36" s="78" t="n">
        <f aca="false">F36-$B$4</f>
        <v>12537.9377630311</v>
      </c>
      <c r="I36" s="79" t="n">
        <f aca="false">$B$4*EXP(($B$17-$B$16*1.645)*A36)</f>
        <v>878326.522976169</v>
      </c>
      <c r="J36" s="80" t="n">
        <f aca="false">$B$4*EXP(($B$17+$B$16*1.645)*A36)</f>
        <v>1145396.71717261</v>
      </c>
    </row>
    <row r="37" customFormat="false" ht="15" hidden="false" customHeight="true" outlineLevel="0" collapsed="false">
      <c r="A37" s="81" t="n">
        <v>8</v>
      </c>
      <c r="B37" s="82" t="n">
        <f aca="false">$B$17</f>
        <v>0.000429585317460318</v>
      </c>
      <c r="C37" s="83" t="n">
        <v>-0.22</v>
      </c>
      <c r="D37" s="82" t="n">
        <f aca="false">$B$16*C37</f>
        <v>-0.00253614161389191</v>
      </c>
      <c r="E37" s="82" t="n">
        <f aca="false">B37+D37</f>
        <v>-0.0021065562964316</v>
      </c>
      <c r="F37" s="84" t="n">
        <f aca="false">F36*EXP(E37)</f>
        <v>1010407.21462692</v>
      </c>
      <c r="G37" s="85" t="n">
        <f aca="false">F37/$B$4-1</f>
        <v>0.0104072146269174</v>
      </c>
      <c r="H37" s="86" t="n">
        <f aca="false">F37-$B$4</f>
        <v>10407.2146269174</v>
      </c>
      <c r="I37" s="87" t="n">
        <f aca="false">$B$4*EXP(($B$17-$B$16*1.645)*A37)</f>
        <v>862197.688472784</v>
      </c>
      <c r="J37" s="88" t="n">
        <f aca="false">$B$4*EXP(($B$17+$B$16*1.645)*A37)</f>
        <v>1167826.18919992</v>
      </c>
    </row>
    <row r="38" customFormat="false" ht="15" hidden="false" customHeight="true" outlineLevel="0" collapsed="false">
      <c r="A38" s="73" t="n">
        <v>9</v>
      </c>
      <c r="B38" s="74" t="n">
        <f aca="false">$B$17</f>
        <v>0.000429585317460318</v>
      </c>
      <c r="C38" s="75" t="n">
        <v>1.05</v>
      </c>
      <c r="D38" s="74" t="n">
        <f aca="false">$B$16*C38</f>
        <v>0.0121043122481205</v>
      </c>
      <c r="E38" s="74" t="n">
        <f aca="false">B38+D38</f>
        <v>0.0125338975655808</v>
      </c>
      <c r="F38" s="76" t="n">
        <f aca="false">F37*EXP(E38)</f>
        <v>1023151.25456134</v>
      </c>
      <c r="G38" s="77" t="n">
        <f aca="false">F38/$B$4-1</f>
        <v>0.0231512545613433</v>
      </c>
      <c r="H38" s="78" t="n">
        <f aca="false">F38-$B$4</f>
        <v>23151.2545613432</v>
      </c>
      <c r="I38" s="79" t="n">
        <f aca="false">$B$4*EXP(($B$17-$B$16*1.645)*A38)</f>
        <v>846365.030044733</v>
      </c>
      <c r="J38" s="80" t="n">
        <f aca="false">$B$4*EXP(($B$17+$B$16*1.645)*A38)</f>
        <v>1190694.88128773</v>
      </c>
    </row>
    <row r="39" customFormat="false" ht="15" hidden="false" customHeight="true" outlineLevel="0" collapsed="false">
      <c r="A39" s="81" t="n">
        <v>10</v>
      </c>
      <c r="B39" s="82" t="n">
        <f aca="false">$B$17</f>
        <v>0.000429585317460318</v>
      </c>
      <c r="C39" s="83" t="n">
        <v>-0.74</v>
      </c>
      <c r="D39" s="82" t="n">
        <f aca="false">$B$16*C39</f>
        <v>-0.00853065815581826</v>
      </c>
      <c r="E39" s="82" t="n">
        <f aca="false">B39+D39</f>
        <v>-0.00810107283835794</v>
      </c>
      <c r="F39" s="84" t="n">
        <f aca="false">F38*EXP(E39)</f>
        <v>1014896.11461537</v>
      </c>
      <c r="G39" s="85" t="n">
        <f aca="false">F39/$B$4-1</f>
        <v>0.0148961146153663</v>
      </c>
      <c r="H39" s="86" t="n">
        <f aca="false">F39-$B$4</f>
        <v>14896.1146153663</v>
      </c>
      <c r="I39" s="87" t="n">
        <f aca="false">$B$4*EXP(($B$17-$B$16*1.645)*A39)</f>
        <v>830823.108968743</v>
      </c>
      <c r="J39" s="88" t="n">
        <f aca="false">$B$4*EXP(($B$17+$B$16*1.645)*A39)</f>
        <v>1214011.3943635</v>
      </c>
    </row>
  </sheetData>
  <mergeCells count="4">
    <mergeCell ref="A1:J1"/>
    <mergeCell ref="A3:J3"/>
    <mergeCell ref="A14:J14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8"/>
  </cols>
  <sheetData>
    <row r="1" customFormat="false" ht="27.75" hidden="false" customHeight="true" outlineLevel="0" collapsed="false">
      <c r="A1" s="2" t="s">
        <v>106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89" t="s">
        <v>107</v>
      </c>
      <c r="B3" s="89"/>
      <c r="C3" s="89"/>
      <c r="D3" s="89"/>
      <c r="E3" s="89"/>
      <c r="F3" s="89"/>
    </row>
    <row r="4" customFormat="false" ht="30" hidden="false" customHeight="true" outlineLevel="0" collapsed="false">
      <c r="A4" s="4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</row>
    <row r="5" customFormat="false" ht="15" hidden="false" customHeight="true" outlineLevel="0" collapsed="false">
      <c r="A5" s="90" t="s">
        <v>114</v>
      </c>
      <c r="B5" s="91" t="n">
        <v>1.282</v>
      </c>
      <c r="C5" s="92" t="n">
        <v>14282.7571131021</v>
      </c>
      <c r="D5" s="92" t="n">
        <v>57308.251960084</v>
      </c>
      <c r="E5" s="92" t="n">
        <v>109606</v>
      </c>
      <c r="F5" s="92" t="n">
        <v>20219.67557842</v>
      </c>
    </row>
    <row r="6" customFormat="false" ht="15" hidden="false" customHeight="true" outlineLevel="0" collapsed="false">
      <c r="A6" s="93" t="s">
        <v>115</v>
      </c>
      <c r="B6" s="94" t="n">
        <v>1.645</v>
      </c>
      <c r="C6" s="95" t="n">
        <v>18467.3907760237</v>
      </c>
      <c r="D6" s="95" t="n">
        <v>76484.6524760828</v>
      </c>
      <c r="E6" s="95" t="n">
        <v>176035</v>
      </c>
      <c r="F6" s="95" t="n">
        <v>23773.0562593202</v>
      </c>
    </row>
    <row r="7" customFormat="false" ht="15" hidden="false" customHeight="true" outlineLevel="0" collapsed="false">
      <c r="A7" s="90" t="s">
        <v>116</v>
      </c>
      <c r="B7" s="91" t="n">
        <v>2.326</v>
      </c>
      <c r="C7" s="92" t="n">
        <v>26317.9018626619</v>
      </c>
      <c r="D7" s="92" t="n">
        <v>112460.213774692</v>
      </c>
      <c r="E7" s="92" t="n">
        <v>300658</v>
      </c>
      <c r="F7" s="92" t="n">
        <v>30749.2394886151</v>
      </c>
    </row>
    <row r="8" customFormat="false" ht="15" hidden="false" customHeight="true" outlineLevel="0" collapsed="false">
      <c r="A8" s="93" t="s">
        <v>117</v>
      </c>
      <c r="B8" s="94" t="n">
        <v>2.576</v>
      </c>
      <c r="C8" s="95" t="n">
        <v>29199.8809693572</v>
      </c>
      <c r="D8" s="95" t="n">
        <v>125667.101182405</v>
      </c>
      <c r="E8" s="95" t="n">
        <v>346408</v>
      </c>
      <c r="F8" s="95" t="n">
        <v>33323.4862917196</v>
      </c>
    </row>
    <row r="9" customFormat="false" ht="15" hidden="false" customHeight="true" outlineLevel="0" collapsed="false">
      <c r="A9" s="90" t="s">
        <v>118</v>
      </c>
      <c r="B9" s="91" t="n">
        <v>3.09</v>
      </c>
      <c r="C9" s="92" t="n">
        <v>35125.2300127229</v>
      </c>
      <c r="D9" s="92" t="n">
        <v>152820.461692662</v>
      </c>
      <c r="E9" s="92" t="n">
        <v>440470</v>
      </c>
      <c r="F9" s="92" t="n">
        <v>38843.4068617397</v>
      </c>
    </row>
    <row r="11" customFormat="false" ht="15" hidden="false" customHeight="true" outlineLevel="0" collapsed="false">
      <c r="A11" s="89" t="s">
        <v>119</v>
      </c>
      <c r="B11" s="89"/>
      <c r="C11" s="89"/>
      <c r="D11" s="89"/>
      <c r="E11" s="89"/>
      <c r="F11" s="89"/>
    </row>
    <row r="12" customFormat="false" ht="30" hidden="false" customHeight="true" outlineLevel="0" collapsed="false">
      <c r="A12" s="96" t="s">
        <v>120</v>
      </c>
      <c r="B12" s="96" t="s">
        <v>121</v>
      </c>
      <c r="C12" s="96" t="s">
        <v>122</v>
      </c>
      <c r="D12" s="96" t="s">
        <v>123</v>
      </c>
      <c r="E12" s="96" t="s">
        <v>124</v>
      </c>
      <c r="F12" s="96" t="s">
        <v>125</v>
      </c>
    </row>
    <row r="13" customFormat="false" ht="15" hidden="false" customHeight="true" outlineLevel="0" collapsed="false">
      <c r="A13" s="97" t="s">
        <v>126</v>
      </c>
      <c r="B13" s="97" t="s">
        <v>127</v>
      </c>
      <c r="C13" s="98" t="n">
        <v>-0.38</v>
      </c>
      <c r="D13" s="98" t="n">
        <v>-0.372</v>
      </c>
      <c r="E13" s="97" t="n">
        <v>40</v>
      </c>
      <c r="F13" s="99" t="n">
        <v>380000</v>
      </c>
    </row>
    <row r="14" customFormat="false" ht="15" hidden="false" customHeight="true" outlineLevel="0" collapsed="false">
      <c r="A14" s="97" t="s">
        <v>128</v>
      </c>
      <c r="B14" s="97" t="s">
        <v>129</v>
      </c>
      <c r="C14" s="98" t="n">
        <v>-0.552</v>
      </c>
      <c r="D14" s="98" t="n">
        <v>-0.548</v>
      </c>
      <c r="E14" s="97" t="n">
        <v>180</v>
      </c>
      <c r="F14" s="99" t="n">
        <v>552000</v>
      </c>
    </row>
    <row r="15" customFormat="false" ht="15" hidden="false" customHeight="true" outlineLevel="0" collapsed="false">
      <c r="A15" s="97" t="s">
        <v>130</v>
      </c>
      <c r="B15" s="97" t="s">
        <v>131</v>
      </c>
      <c r="C15" s="98" t="n">
        <v>-0.152</v>
      </c>
      <c r="D15" s="98" t="n">
        <v>-0.148</v>
      </c>
      <c r="E15" s="97" t="n">
        <v>90</v>
      </c>
      <c r="F15" s="99" t="n">
        <v>152000</v>
      </c>
    </row>
    <row r="16" customFormat="false" ht="15" hidden="false" customHeight="true" outlineLevel="0" collapsed="false">
      <c r="A16" s="97" t="s">
        <v>132</v>
      </c>
      <c r="B16" s="97" t="s">
        <v>133</v>
      </c>
      <c r="C16" s="98" t="n">
        <v>-0.064</v>
      </c>
      <c r="D16" s="98" t="n">
        <v>-0.061</v>
      </c>
      <c r="E16" s="97" t="n">
        <v>30</v>
      </c>
      <c r="F16" s="99" t="n">
        <v>64000</v>
      </c>
    </row>
    <row r="17" customFormat="false" ht="15" hidden="false" customHeight="true" outlineLevel="0" collapsed="false">
      <c r="A17" s="97" t="s">
        <v>134</v>
      </c>
      <c r="B17" s="97" t="s">
        <v>135</v>
      </c>
      <c r="C17" s="98" t="n">
        <v>-0.282</v>
      </c>
      <c r="D17" s="98" t="n">
        <v>-0.27</v>
      </c>
      <c r="E17" s="97" t="n">
        <v>150</v>
      </c>
      <c r="F17" s="99" t="n">
        <v>282000</v>
      </c>
    </row>
    <row r="18" customFormat="false" ht="15" hidden="false" customHeight="true" outlineLevel="0" collapsed="false">
      <c r="A18" s="97" t="s">
        <v>136</v>
      </c>
      <c r="B18" s="97" t="s">
        <v>137</v>
      </c>
      <c r="C18" s="98" t="n">
        <v>-0.185</v>
      </c>
      <c r="D18" s="98" t="n">
        <v>-0.18</v>
      </c>
      <c r="E18" s="97" t="n">
        <v>60</v>
      </c>
      <c r="F18" s="99" t="n">
        <v>185000</v>
      </c>
    </row>
    <row r="19" customFormat="false" ht="15" hidden="false" customHeight="true" outlineLevel="0" collapsed="false">
      <c r="A19" s="97" t="s">
        <v>138</v>
      </c>
      <c r="B19" s="97" t="s">
        <v>129</v>
      </c>
      <c r="C19" s="98" t="n">
        <v>-0.079</v>
      </c>
      <c r="D19" s="98" t="n">
        <v>-0.082</v>
      </c>
      <c r="E19" s="97" t="n">
        <v>1</v>
      </c>
      <c r="F19" s="99" t="n">
        <v>79000</v>
      </c>
    </row>
    <row r="20" customFormat="false" ht="15" hidden="false" customHeight="true" outlineLevel="0" collapsed="false">
      <c r="A20" s="97" t="s">
        <v>139</v>
      </c>
      <c r="B20" s="97" t="s">
        <v>140</v>
      </c>
      <c r="C20" s="98" t="n">
        <v>-0.054</v>
      </c>
      <c r="D20" s="98" t="n">
        <v>-0.059</v>
      </c>
      <c r="E20" s="97" t="n">
        <v>1</v>
      </c>
      <c r="F20" s="99" t="n">
        <v>54000</v>
      </c>
    </row>
    <row r="21" customFormat="false" ht="15" hidden="false" customHeight="true" outlineLevel="0" collapsed="false">
      <c r="A21" s="97" t="s">
        <v>141</v>
      </c>
      <c r="B21" s="97" t="s">
        <v>142</v>
      </c>
      <c r="C21" s="98" t="n">
        <v>-0.098</v>
      </c>
      <c r="D21" s="98" t="n">
        <v>-0.095</v>
      </c>
      <c r="E21" s="97" t="n">
        <v>45</v>
      </c>
      <c r="F21" s="99" t="n">
        <v>98000</v>
      </c>
    </row>
  </sheetData>
  <mergeCells count="3">
    <mergeCell ref="A1:F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11" min="2" style="1" width="12"/>
  </cols>
  <sheetData>
    <row r="1" customFormat="false" ht="27.75" hidden="false" customHeight="true" outlineLevel="0" collapsed="false">
      <c r="A1" s="2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100" t="s">
        <v>144</v>
      </c>
      <c r="B3" s="72" t="s">
        <v>13</v>
      </c>
      <c r="C3" s="72" t="s">
        <v>145</v>
      </c>
      <c r="D3" s="72" t="s">
        <v>14</v>
      </c>
      <c r="E3" s="72" t="s">
        <v>42</v>
      </c>
      <c r="F3" s="72" t="s">
        <v>44</v>
      </c>
      <c r="G3" s="72" t="s">
        <v>67</v>
      </c>
      <c r="H3" s="72" t="s">
        <v>60</v>
      </c>
      <c r="I3" s="72" t="s">
        <v>146</v>
      </c>
      <c r="J3" s="72" t="s">
        <v>17</v>
      </c>
      <c r="K3" s="72" t="s">
        <v>18</v>
      </c>
    </row>
    <row r="4" customFormat="false" ht="15" hidden="false" customHeight="true" outlineLevel="0" collapsed="false">
      <c r="A4" s="72" t="s">
        <v>13</v>
      </c>
      <c r="B4" s="101" t="n">
        <v>1</v>
      </c>
      <c r="C4" s="102" t="n">
        <v>0.99</v>
      </c>
      <c r="D4" s="102" t="n">
        <v>0.91</v>
      </c>
      <c r="E4" s="103" t="n">
        <v>0.42</v>
      </c>
      <c r="F4" s="103" t="n">
        <v>0.45</v>
      </c>
      <c r="G4" s="104" t="n">
        <v>-0.15</v>
      </c>
      <c r="H4" s="105" t="n">
        <v>-0.35</v>
      </c>
      <c r="I4" s="106" t="n">
        <v>0.25</v>
      </c>
      <c r="J4" s="102" t="n">
        <v>0.75</v>
      </c>
      <c r="K4" s="103" t="n">
        <v>0.65</v>
      </c>
    </row>
    <row r="5" customFormat="false" ht="15" hidden="false" customHeight="true" outlineLevel="0" collapsed="false">
      <c r="A5" s="72" t="s">
        <v>145</v>
      </c>
      <c r="B5" s="102" t="n">
        <v>0.99</v>
      </c>
      <c r="C5" s="101" t="n">
        <v>1</v>
      </c>
      <c r="D5" s="102" t="n">
        <v>0.9</v>
      </c>
      <c r="E5" s="103" t="n">
        <v>0.43</v>
      </c>
      <c r="F5" s="103" t="n">
        <v>0.46</v>
      </c>
      <c r="G5" s="104" t="n">
        <v>-0.14</v>
      </c>
      <c r="H5" s="105" t="n">
        <v>-0.34</v>
      </c>
      <c r="I5" s="106" t="n">
        <v>0.26</v>
      </c>
      <c r="J5" s="102" t="n">
        <v>0.74</v>
      </c>
      <c r="K5" s="103" t="n">
        <v>0.64</v>
      </c>
    </row>
    <row r="6" customFormat="false" ht="15" hidden="false" customHeight="true" outlineLevel="0" collapsed="false">
      <c r="A6" s="72" t="s">
        <v>14</v>
      </c>
      <c r="B6" s="102" t="n">
        <v>0.91</v>
      </c>
      <c r="C6" s="102" t="n">
        <v>0.9</v>
      </c>
      <c r="D6" s="101" t="n">
        <v>1</v>
      </c>
      <c r="E6" s="103" t="n">
        <v>0.38</v>
      </c>
      <c r="F6" s="103" t="n">
        <v>0.4</v>
      </c>
      <c r="G6" s="104" t="n">
        <v>-0.18</v>
      </c>
      <c r="H6" s="105" t="n">
        <v>-0.4</v>
      </c>
      <c r="I6" s="106" t="n">
        <v>0.22</v>
      </c>
      <c r="J6" s="103" t="n">
        <v>0.65</v>
      </c>
      <c r="K6" s="103" t="n">
        <v>0.55</v>
      </c>
    </row>
    <row r="7" customFormat="false" ht="15" hidden="false" customHeight="true" outlineLevel="0" collapsed="false">
      <c r="A7" s="72" t="s">
        <v>42</v>
      </c>
      <c r="B7" s="103" t="n">
        <v>0.42</v>
      </c>
      <c r="C7" s="103" t="n">
        <v>0.43</v>
      </c>
      <c r="D7" s="103" t="n">
        <v>0.38</v>
      </c>
      <c r="E7" s="101" t="n">
        <v>1</v>
      </c>
      <c r="F7" s="102" t="n">
        <v>0.88</v>
      </c>
      <c r="G7" s="104" t="n">
        <v>-0.05</v>
      </c>
      <c r="H7" s="105" t="n">
        <v>-0.2</v>
      </c>
      <c r="I7" s="103" t="n">
        <v>0.35</v>
      </c>
      <c r="J7" s="103" t="n">
        <v>0.55</v>
      </c>
      <c r="K7" s="106" t="n">
        <v>0.3</v>
      </c>
    </row>
    <row r="8" customFormat="false" ht="15" hidden="false" customHeight="true" outlineLevel="0" collapsed="false">
      <c r="A8" s="72" t="s">
        <v>44</v>
      </c>
      <c r="B8" s="103" t="n">
        <v>0.45</v>
      </c>
      <c r="C8" s="103" t="n">
        <v>0.46</v>
      </c>
      <c r="D8" s="103" t="n">
        <v>0.4</v>
      </c>
      <c r="E8" s="102" t="n">
        <v>0.88</v>
      </c>
      <c r="F8" s="101" t="n">
        <v>1</v>
      </c>
      <c r="G8" s="104" t="n">
        <v>-0.08</v>
      </c>
      <c r="H8" s="105" t="n">
        <v>-0.22</v>
      </c>
      <c r="I8" s="103" t="n">
        <v>0.32</v>
      </c>
      <c r="J8" s="103" t="n">
        <v>0.52</v>
      </c>
      <c r="K8" s="103" t="n">
        <v>0.32</v>
      </c>
    </row>
    <row r="9" customFormat="false" ht="15" hidden="false" customHeight="true" outlineLevel="0" collapsed="false">
      <c r="A9" s="72" t="s">
        <v>67</v>
      </c>
      <c r="B9" s="104" t="n">
        <v>-0.15</v>
      </c>
      <c r="C9" s="104" t="n">
        <v>-0.14</v>
      </c>
      <c r="D9" s="104" t="n">
        <v>-0.18</v>
      </c>
      <c r="E9" s="104" t="n">
        <v>-0.05</v>
      </c>
      <c r="F9" s="104" t="n">
        <v>-0.08</v>
      </c>
      <c r="G9" s="101" t="n">
        <v>1</v>
      </c>
      <c r="H9" s="106" t="n">
        <v>0.15</v>
      </c>
      <c r="I9" s="104" t="n">
        <v>-0.1</v>
      </c>
      <c r="J9" s="104" t="n">
        <v>-0.12</v>
      </c>
      <c r="K9" s="104" t="n">
        <v>-0.05</v>
      </c>
    </row>
    <row r="10" customFormat="false" ht="15" hidden="false" customHeight="true" outlineLevel="0" collapsed="false">
      <c r="A10" s="72" t="s">
        <v>60</v>
      </c>
      <c r="B10" s="105" t="n">
        <v>-0.35</v>
      </c>
      <c r="C10" s="105" t="n">
        <v>-0.34</v>
      </c>
      <c r="D10" s="105" t="n">
        <v>-0.4</v>
      </c>
      <c r="E10" s="105" t="n">
        <v>-0.2</v>
      </c>
      <c r="F10" s="105" t="n">
        <v>-0.22</v>
      </c>
      <c r="G10" s="106" t="n">
        <v>0.15</v>
      </c>
      <c r="H10" s="101" t="n">
        <v>1</v>
      </c>
      <c r="I10" s="105" t="n">
        <v>-0.28</v>
      </c>
      <c r="J10" s="105" t="n">
        <v>-0.28</v>
      </c>
      <c r="K10" s="105" t="n">
        <v>-0.22</v>
      </c>
    </row>
    <row r="11" customFormat="false" ht="15" hidden="false" customHeight="true" outlineLevel="0" collapsed="false">
      <c r="A11" s="72" t="s">
        <v>146</v>
      </c>
      <c r="B11" s="106" t="n">
        <v>0.25</v>
      </c>
      <c r="C11" s="106" t="n">
        <v>0.26</v>
      </c>
      <c r="D11" s="106" t="n">
        <v>0.22</v>
      </c>
      <c r="E11" s="103" t="n">
        <v>0.35</v>
      </c>
      <c r="F11" s="103" t="n">
        <v>0.32</v>
      </c>
      <c r="G11" s="104" t="n">
        <v>-0.1</v>
      </c>
      <c r="H11" s="105" t="n">
        <v>-0.28</v>
      </c>
      <c r="I11" s="101" t="n">
        <v>1</v>
      </c>
      <c r="J11" s="106" t="n">
        <v>0.22</v>
      </c>
      <c r="K11" s="106" t="n">
        <v>0.18</v>
      </c>
    </row>
    <row r="12" customFormat="false" ht="15" hidden="false" customHeight="true" outlineLevel="0" collapsed="false">
      <c r="A12" s="72" t="s">
        <v>17</v>
      </c>
      <c r="B12" s="102" t="n">
        <v>0.75</v>
      </c>
      <c r="C12" s="102" t="n">
        <v>0.74</v>
      </c>
      <c r="D12" s="103" t="n">
        <v>0.65</v>
      </c>
      <c r="E12" s="103" t="n">
        <v>0.55</v>
      </c>
      <c r="F12" s="103" t="n">
        <v>0.52</v>
      </c>
      <c r="G12" s="104" t="n">
        <v>-0.12</v>
      </c>
      <c r="H12" s="105" t="n">
        <v>-0.28</v>
      </c>
      <c r="I12" s="106" t="n">
        <v>0.22</v>
      </c>
      <c r="J12" s="101" t="n">
        <v>1</v>
      </c>
      <c r="K12" s="103" t="n">
        <v>0.48</v>
      </c>
    </row>
    <row r="13" customFormat="false" ht="15" hidden="false" customHeight="true" outlineLevel="0" collapsed="false">
      <c r="A13" s="72" t="s">
        <v>18</v>
      </c>
      <c r="B13" s="103" t="n">
        <v>0.65</v>
      </c>
      <c r="C13" s="103" t="n">
        <v>0.64</v>
      </c>
      <c r="D13" s="103" t="n">
        <v>0.55</v>
      </c>
      <c r="E13" s="106" t="n">
        <v>0.3</v>
      </c>
      <c r="F13" s="103" t="n">
        <v>0.32</v>
      </c>
      <c r="G13" s="104" t="n">
        <v>-0.05</v>
      </c>
      <c r="H13" s="105" t="n">
        <v>-0.22</v>
      </c>
      <c r="I13" s="106" t="n">
        <v>0.18</v>
      </c>
      <c r="J13" s="103" t="n">
        <v>0.48</v>
      </c>
      <c r="K13" s="101" t="n">
        <v>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6"/>
  </cols>
  <sheetData>
    <row r="1" customFormat="false" ht="27.75" hidden="false" customHeight="true" outlineLevel="0" collapsed="false">
      <c r="A1" s="2" t="s">
        <v>147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89" t="s">
        <v>148</v>
      </c>
      <c r="B3" s="89"/>
      <c r="C3" s="89"/>
      <c r="D3" s="89"/>
      <c r="E3" s="89"/>
      <c r="F3" s="89"/>
      <c r="G3" s="89"/>
    </row>
    <row r="4" customFormat="false" ht="30" hidden="false" customHeight="true" outlineLevel="0" collapsed="false">
      <c r="A4" s="4" t="s">
        <v>149</v>
      </c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customFormat="false" ht="15" hidden="false" customHeight="true" outlineLevel="0" collapsed="false">
      <c r="A5" s="107" t="s">
        <v>156</v>
      </c>
      <c r="B5" s="108" t="n">
        <v>0.55</v>
      </c>
      <c r="C5" s="108" t="n">
        <v>0.15</v>
      </c>
      <c r="D5" s="108" t="n">
        <v>0.3</v>
      </c>
      <c r="E5" s="109" t="n">
        <v>0.1085</v>
      </c>
      <c r="F5" s="109" t="n">
        <v>0.145</v>
      </c>
      <c r="G5" s="110" t="n">
        <v>0.3</v>
      </c>
    </row>
    <row r="6" customFormat="false" ht="15" hidden="false" customHeight="true" outlineLevel="0" collapsed="false">
      <c r="A6" s="111" t="s">
        <v>157</v>
      </c>
      <c r="B6" s="112" t="n">
        <v>0.5</v>
      </c>
      <c r="C6" s="112" t="n">
        <v>0.2</v>
      </c>
      <c r="D6" s="112" t="n">
        <v>0.3</v>
      </c>
      <c r="E6" s="113" t="n">
        <v>0.1125</v>
      </c>
      <c r="F6" s="113" t="n">
        <v>0.152</v>
      </c>
      <c r="G6" s="114" t="n">
        <v>0.3125</v>
      </c>
    </row>
    <row r="7" customFormat="false" ht="15" hidden="false" customHeight="true" outlineLevel="0" collapsed="false">
      <c r="A7" s="107" t="s">
        <v>158</v>
      </c>
      <c r="B7" s="108" t="n">
        <v>0.6</v>
      </c>
      <c r="C7" s="108" t="n">
        <v>0.25</v>
      </c>
      <c r="D7" s="108" t="n">
        <v>0.15</v>
      </c>
      <c r="E7" s="109" t="n">
        <v>0.1198</v>
      </c>
      <c r="F7" s="109" t="n">
        <v>0.168</v>
      </c>
      <c r="G7" s="110" t="n">
        <v>0.326190476190476</v>
      </c>
    </row>
    <row r="8" customFormat="false" ht="15" hidden="false" customHeight="true" outlineLevel="0" collapsed="false">
      <c r="A8" s="111" t="s">
        <v>159</v>
      </c>
      <c r="B8" s="112" t="n">
        <v>0.55</v>
      </c>
      <c r="C8" s="112" t="n">
        <v>0.35</v>
      </c>
      <c r="D8" s="112" t="n">
        <v>0.1</v>
      </c>
      <c r="E8" s="113" t="n">
        <v>0.1248</v>
      </c>
      <c r="F8" s="113" t="n">
        <v>0.178</v>
      </c>
      <c r="G8" s="114" t="n">
        <v>0.335955056179775</v>
      </c>
    </row>
    <row r="9" customFormat="false" ht="15" hidden="false" customHeight="true" outlineLevel="0" collapsed="false">
      <c r="A9" s="115" t="s">
        <v>160</v>
      </c>
      <c r="B9" s="116" t="n">
        <v>0.5</v>
      </c>
      <c r="C9" s="116" t="n">
        <v>0.42</v>
      </c>
      <c r="D9" s="116" t="n">
        <v>0.08</v>
      </c>
      <c r="E9" s="117" t="n">
        <v>0.1285</v>
      </c>
      <c r="F9" s="117" t="n">
        <v>0.185</v>
      </c>
      <c r="G9" s="118" t="n">
        <v>0.343243243243243</v>
      </c>
    </row>
    <row r="10" customFormat="false" ht="15" hidden="false" customHeight="true" outlineLevel="0" collapsed="false">
      <c r="A10" s="111" t="s">
        <v>161</v>
      </c>
      <c r="B10" s="112" t="n">
        <v>0.45</v>
      </c>
      <c r="C10" s="112" t="n">
        <v>0.5</v>
      </c>
      <c r="D10" s="112" t="n">
        <v>0.05</v>
      </c>
      <c r="E10" s="113" t="n">
        <v>0.1348</v>
      </c>
      <c r="F10" s="113" t="n">
        <v>0.205</v>
      </c>
      <c r="G10" s="114" t="n">
        <v>0.340487804878049</v>
      </c>
    </row>
    <row r="11" customFormat="false" ht="15" hidden="false" customHeight="true" outlineLevel="0" collapsed="false">
      <c r="A11" s="107" t="s">
        <v>162</v>
      </c>
      <c r="B11" s="108" t="n">
        <v>0.35</v>
      </c>
      <c r="C11" s="108" t="n">
        <v>0.62</v>
      </c>
      <c r="D11" s="108" t="n">
        <v>0.03</v>
      </c>
      <c r="E11" s="109" t="n">
        <v>0.1458</v>
      </c>
      <c r="F11" s="109" t="n">
        <v>0.245</v>
      </c>
      <c r="G11" s="110" t="n">
        <v>0.329795918367347</v>
      </c>
    </row>
    <row r="12" customFormat="false" ht="15" hidden="false" customHeight="true" outlineLevel="0" collapsed="false">
      <c r="A12" s="111" t="s">
        <v>163</v>
      </c>
      <c r="B12" s="112" t="n">
        <v>0.2</v>
      </c>
      <c r="C12" s="112" t="n">
        <v>0.78</v>
      </c>
      <c r="D12" s="112" t="n">
        <v>0.02</v>
      </c>
      <c r="E12" s="113" t="n">
        <v>0.1622</v>
      </c>
      <c r="F12" s="113" t="n">
        <v>0.295</v>
      </c>
      <c r="G12" s="114" t="n">
        <v>0.329491525423729</v>
      </c>
    </row>
    <row r="14" customFormat="false" ht="15" hidden="false" customHeight="true" outlineLevel="0" collapsed="false">
      <c r="A14" s="89" t="s">
        <v>164</v>
      </c>
      <c r="B14" s="89"/>
      <c r="C14" s="89"/>
      <c r="D14" s="89"/>
      <c r="E14" s="89"/>
      <c r="F14" s="89"/>
      <c r="G14" s="89"/>
    </row>
    <row r="15" customFormat="false" ht="15" hidden="false" customHeight="true" outlineLevel="0" collapsed="false">
      <c r="A15" s="4" t="s">
        <v>165</v>
      </c>
      <c r="B15" s="4" t="s">
        <v>166</v>
      </c>
      <c r="C15" s="4" t="s">
        <v>167</v>
      </c>
      <c r="D15" s="4" t="s">
        <v>168</v>
      </c>
      <c r="E15" s="4" t="s">
        <v>169</v>
      </c>
    </row>
    <row r="16" customFormat="false" ht="15" hidden="false" customHeight="true" outlineLevel="0" collapsed="false">
      <c r="A16" s="94" t="n">
        <v>1</v>
      </c>
      <c r="B16" s="113" t="n">
        <v>0.32</v>
      </c>
      <c r="C16" s="113" t="n">
        <v>0.175</v>
      </c>
      <c r="D16" s="113" t="n">
        <v>0.145</v>
      </c>
      <c r="E16" s="119" t="n">
        <v>0</v>
      </c>
    </row>
    <row r="17" customFormat="false" ht="15" hidden="false" customHeight="true" outlineLevel="0" collapsed="false">
      <c r="A17" s="91" t="n">
        <v>2</v>
      </c>
      <c r="B17" s="109" t="n">
        <v>0.265</v>
      </c>
      <c r="C17" s="109" t="n">
        <v>0.175</v>
      </c>
      <c r="D17" s="109" t="n">
        <v>0.09</v>
      </c>
      <c r="E17" s="120" t="n">
        <v>0.055</v>
      </c>
    </row>
    <row r="18" customFormat="false" ht="15" hidden="false" customHeight="true" outlineLevel="0" collapsed="false">
      <c r="A18" s="94" t="n">
        <v>3</v>
      </c>
      <c r="B18" s="113" t="n">
        <v>0.238</v>
      </c>
      <c r="C18" s="113" t="n">
        <v>0.175</v>
      </c>
      <c r="D18" s="113" t="n">
        <v>0.063</v>
      </c>
      <c r="E18" s="119" t="n">
        <v>0.082</v>
      </c>
    </row>
    <row r="19" customFormat="false" ht="15" hidden="false" customHeight="true" outlineLevel="0" collapsed="false">
      <c r="A19" s="91" t="n">
        <v>5</v>
      </c>
      <c r="B19" s="109" t="n">
        <v>0.214</v>
      </c>
      <c r="C19" s="109" t="n">
        <v>0.175</v>
      </c>
      <c r="D19" s="109" t="n">
        <v>0.039</v>
      </c>
      <c r="E19" s="120" t="n">
        <v>0.106</v>
      </c>
    </row>
    <row r="20" customFormat="false" ht="15" hidden="false" customHeight="true" outlineLevel="0" collapsed="false">
      <c r="A20" s="94" t="n">
        <v>10</v>
      </c>
      <c r="B20" s="113" t="n">
        <v>0.198</v>
      </c>
      <c r="C20" s="113" t="n">
        <v>0.175</v>
      </c>
      <c r="D20" s="113" t="n">
        <v>0.023</v>
      </c>
      <c r="E20" s="119" t="n">
        <v>0.122</v>
      </c>
    </row>
    <row r="21" customFormat="false" ht="15" hidden="false" customHeight="true" outlineLevel="0" collapsed="false">
      <c r="A21" s="91" t="n">
        <v>15</v>
      </c>
      <c r="B21" s="109" t="n">
        <v>0.19</v>
      </c>
      <c r="C21" s="109" t="n">
        <v>0.175</v>
      </c>
      <c r="D21" s="109" t="n">
        <v>0.015</v>
      </c>
      <c r="E21" s="120" t="n">
        <v>0.13</v>
      </c>
    </row>
    <row r="22" customFormat="false" ht="15" hidden="false" customHeight="true" outlineLevel="0" collapsed="false">
      <c r="A22" s="94" t="n">
        <v>20</v>
      </c>
      <c r="B22" s="113" t="n">
        <v>0.185</v>
      </c>
      <c r="C22" s="113" t="n">
        <v>0.175</v>
      </c>
      <c r="D22" s="113" t="n">
        <v>0.01</v>
      </c>
      <c r="E22" s="119" t="n">
        <v>0.135</v>
      </c>
    </row>
    <row r="23" customFormat="false" ht="15" hidden="false" customHeight="true" outlineLevel="0" collapsed="false">
      <c r="A23" s="91" t="n">
        <v>30</v>
      </c>
      <c r="B23" s="109" t="n">
        <v>0.181</v>
      </c>
      <c r="C23" s="109" t="n">
        <v>0.175</v>
      </c>
      <c r="D23" s="109" t="n">
        <v>0.00600000000000001</v>
      </c>
      <c r="E23" s="120" t="n">
        <v>0.139</v>
      </c>
    </row>
    <row r="24" customFormat="false" ht="15" hidden="false" customHeight="true" outlineLevel="0" collapsed="false">
      <c r="A24" s="94" t="n">
        <v>50</v>
      </c>
      <c r="B24" s="113" t="n">
        <v>0.179</v>
      </c>
      <c r="C24" s="113" t="n">
        <v>0.175</v>
      </c>
      <c r="D24" s="113" t="n">
        <v>0.00399999999999999</v>
      </c>
      <c r="E24" s="119" t="n">
        <v>0.141</v>
      </c>
    </row>
    <row r="25" customFormat="false" ht="15" hidden="false" customHeight="true" outlineLevel="0" collapsed="false">
      <c r="A25" s="91" t="n">
        <v>100</v>
      </c>
      <c r="B25" s="109" t="n">
        <v>0.178</v>
      </c>
      <c r="C25" s="109" t="n">
        <v>0.175</v>
      </c>
      <c r="D25" s="109" t="n">
        <v>0.00300000000000001</v>
      </c>
      <c r="E25" s="120" t="n">
        <v>0.142</v>
      </c>
    </row>
  </sheetData>
  <mergeCells count="3">
    <mergeCell ref="A1:G1"/>
    <mergeCell ref="A3:G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" t="s">
        <v>170</v>
      </c>
      <c r="B1" s="2"/>
    </row>
    <row r="3" customFormat="false" ht="19.5" hidden="false" customHeight="true" outlineLevel="0" collapsed="false">
      <c r="A3" s="121" t="s">
        <v>171</v>
      </c>
      <c r="B3" s="122" t="s">
        <v>172</v>
      </c>
    </row>
    <row r="4" customFormat="false" ht="19.5" hidden="false" customHeight="true" outlineLevel="0" collapsed="false">
      <c r="A4" s="123" t="s">
        <v>173</v>
      </c>
      <c r="B4" s="124" t="s">
        <v>174</v>
      </c>
    </row>
    <row r="5" customFormat="false" ht="19.5" hidden="false" customHeight="true" outlineLevel="0" collapsed="false">
      <c r="A5" s="123" t="s">
        <v>175</v>
      </c>
      <c r="B5" s="124" t="s">
        <v>176</v>
      </c>
    </row>
    <row r="6" customFormat="false" ht="19.5" hidden="false" customHeight="true" outlineLevel="0" collapsed="false">
      <c r="A6" s="123" t="s">
        <v>177</v>
      </c>
      <c r="B6" s="124" t="s">
        <v>178</v>
      </c>
    </row>
    <row r="7" customFormat="false" ht="19.5" hidden="false" customHeight="true" outlineLevel="0" collapsed="false">
      <c r="A7" s="123" t="s">
        <v>179</v>
      </c>
      <c r="B7" s="124" t="s">
        <v>180</v>
      </c>
    </row>
    <row r="8" customFormat="false" ht="19.5" hidden="false" customHeight="true" outlineLevel="0" collapsed="false">
      <c r="A8" s="123"/>
      <c r="B8" s="124"/>
    </row>
    <row r="9" customFormat="false" ht="19.5" hidden="false" customHeight="true" outlineLevel="0" collapsed="false">
      <c r="A9" s="121" t="s">
        <v>181</v>
      </c>
      <c r="B9" s="122" t="s">
        <v>182</v>
      </c>
    </row>
    <row r="10" customFormat="false" ht="19.5" hidden="false" customHeight="true" outlineLevel="0" collapsed="false">
      <c r="A10" s="123" t="s">
        <v>183</v>
      </c>
      <c r="B10" s="124" t="s">
        <v>184</v>
      </c>
    </row>
    <row r="11" customFormat="false" ht="19.5" hidden="false" customHeight="true" outlineLevel="0" collapsed="false">
      <c r="A11" s="123" t="s">
        <v>185</v>
      </c>
      <c r="B11" s="124" t="s">
        <v>186</v>
      </c>
    </row>
    <row r="12" customFormat="false" ht="19.5" hidden="false" customHeight="true" outlineLevel="0" collapsed="false">
      <c r="A12" s="123" t="s">
        <v>187</v>
      </c>
      <c r="B12" s="124" t="s">
        <v>188</v>
      </c>
    </row>
    <row r="13" customFormat="false" ht="19.5" hidden="false" customHeight="true" outlineLevel="0" collapsed="false">
      <c r="A13" s="123" t="s">
        <v>189</v>
      </c>
      <c r="B13" s="124" t="s">
        <v>190</v>
      </c>
    </row>
    <row r="14" customFormat="false" ht="19.5" hidden="false" customHeight="true" outlineLevel="0" collapsed="false">
      <c r="A14" s="123"/>
      <c r="B14" s="124"/>
    </row>
    <row r="15" customFormat="false" ht="19.5" hidden="false" customHeight="true" outlineLevel="0" collapsed="false">
      <c r="A15" s="121" t="s">
        <v>191</v>
      </c>
      <c r="B15" s="122" t="s">
        <v>192</v>
      </c>
    </row>
    <row r="16" customFormat="false" ht="19.5" hidden="false" customHeight="true" outlineLevel="0" collapsed="false">
      <c r="A16" s="123" t="s">
        <v>193</v>
      </c>
      <c r="B16" s="124" t="s">
        <v>194</v>
      </c>
    </row>
    <row r="17" customFormat="false" ht="19.5" hidden="false" customHeight="true" outlineLevel="0" collapsed="false">
      <c r="A17" s="123" t="s">
        <v>195</v>
      </c>
      <c r="B17" s="124" t="s">
        <v>196</v>
      </c>
    </row>
    <row r="18" customFormat="false" ht="19.5" hidden="false" customHeight="true" outlineLevel="0" collapsed="false">
      <c r="A18" s="123" t="s">
        <v>197</v>
      </c>
      <c r="B18" s="124" t="s">
        <v>198</v>
      </c>
    </row>
    <row r="19" customFormat="false" ht="19.5" hidden="false" customHeight="true" outlineLevel="0" collapsed="false">
      <c r="A19" s="123"/>
      <c r="B19" s="124"/>
    </row>
    <row r="20" customFormat="false" ht="19.5" hidden="false" customHeight="true" outlineLevel="0" collapsed="false">
      <c r="A20" s="121" t="s">
        <v>199</v>
      </c>
      <c r="B20" s="122" t="s">
        <v>200</v>
      </c>
    </row>
    <row r="21" customFormat="false" ht="19.5" hidden="false" customHeight="true" outlineLevel="0" collapsed="false">
      <c r="A21" s="123" t="s">
        <v>201</v>
      </c>
      <c r="B21" s="124" t="s">
        <v>202</v>
      </c>
    </row>
    <row r="22" customFormat="false" ht="19.5" hidden="false" customHeight="true" outlineLevel="0" collapsed="false">
      <c r="A22" s="123" t="s">
        <v>203</v>
      </c>
      <c r="B22" s="124" t="s">
        <v>204</v>
      </c>
    </row>
    <row r="23" customFormat="false" ht="19.5" hidden="false" customHeight="true" outlineLevel="0" collapsed="false">
      <c r="A23" s="123" t="s">
        <v>205</v>
      </c>
      <c r="B23" s="124" t="s">
        <v>206</v>
      </c>
    </row>
    <row r="24" customFormat="false" ht="19.5" hidden="false" customHeight="true" outlineLevel="0" collapsed="false">
      <c r="A24" s="123"/>
      <c r="B24" s="124"/>
    </row>
    <row r="25" customFormat="false" ht="19.5" hidden="false" customHeight="true" outlineLevel="0" collapsed="false">
      <c r="A25" s="121" t="s">
        <v>207</v>
      </c>
      <c r="B25" s="122" t="s">
        <v>208</v>
      </c>
    </row>
    <row r="26" customFormat="false" ht="19.5" hidden="false" customHeight="true" outlineLevel="0" collapsed="false">
      <c r="A26" s="123" t="s">
        <v>209</v>
      </c>
      <c r="B26" s="124" t="s">
        <v>210</v>
      </c>
    </row>
    <row r="27" customFormat="false" ht="19.5" hidden="false" customHeight="true" outlineLevel="0" collapsed="false">
      <c r="A27" s="123" t="s">
        <v>154</v>
      </c>
      <c r="B27" s="124" t="s">
        <v>211</v>
      </c>
    </row>
    <row r="28" customFormat="false" ht="19.5" hidden="false" customHeight="true" outlineLevel="0" collapsed="false">
      <c r="A28" s="123" t="s">
        <v>212</v>
      </c>
      <c r="B28" s="124" t="s">
        <v>213</v>
      </c>
    </row>
    <row r="29" customFormat="false" ht="19.5" hidden="false" customHeight="true" outlineLevel="0" collapsed="false">
      <c r="A29" s="123" t="s">
        <v>61</v>
      </c>
      <c r="B29" s="124" t="s">
        <v>214</v>
      </c>
    </row>
    <row r="30" customFormat="false" ht="19.5" hidden="false" customHeight="true" outlineLevel="0" collapsed="false">
      <c r="A30" s="123" t="s">
        <v>215</v>
      </c>
      <c r="B30" s="124" t="s">
        <v>216</v>
      </c>
    </row>
    <row r="31" customFormat="false" ht="19.5" hidden="false" customHeight="true" outlineLevel="0" collapsed="false">
      <c r="A31" s="123"/>
      <c r="B31" s="124"/>
    </row>
    <row r="32" customFormat="false" ht="19.5" hidden="false" customHeight="true" outlineLevel="0" collapsed="false">
      <c r="A32" s="121" t="s">
        <v>217</v>
      </c>
      <c r="B32" s="122"/>
    </row>
    <row r="33" customFormat="false" ht="19.5" hidden="false" customHeight="true" outlineLevel="0" collapsed="false">
      <c r="A33" s="123" t="s">
        <v>218</v>
      </c>
      <c r="B33" s="124" t="s">
        <v>219</v>
      </c>
    </row>
    <row r="34" customFormat="false" ht="19.5" hidden="false" customHeight="true" outlineLevel="0" collapsed="false">
      <c r="A34" s="123" t="s">
        <v>220</v>
      </c>
      <c r="B34" s="124" t="s">
        <v>221</v>
      </c>
    </row>
    <row r="35" customFormat="false" ht="19.5" hidden="false" customHeight="true" outlineLevel="0" collapsed="false">
      <c r="A35" s="123" t="s">
        <v>222</v>
      </c>
      <c r="B35" s="124" t="s">
        <v>223</v>
      </c>
    </row>
    <row r="36" customFormat="false" ht="19.5" hidden="false" customHeight="true" outlineLevel="0" collapsed="false">
      <c r="A36" s="123" t="s">
        <v>224</v>
      </c>
      <c r="B36" s="124" t="s">
        <v>225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2026-04-21T16:16:38Z</dcterms:created>
  <dc:creator>openpyxl</dc:creator>
  <dc:description/>
  <dc:language>en-US</dc:language>
  <cp:lastModifiedBy/>
  <dcterms:modified xsi:type="dcterms:W3CDTF">2026-04-21T16:17:28Z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